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lores " sheetId="1" r:id="rId1"/>
    <sheet name="minimos Materia prima " sheetId="2" r:id="rId2"/>
    <sheet name="minimos en pisos 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8" i="3" l="1"/>
  <c r="G98" i="3"/>
  <c r="I98" i="3" s="1"/>
  <c r="J98" i="3" s="1"/>
  <c r="B98" i="3"/>
  <c r="H97" i="3"/>
  <c r="G97" i="3"/>
  <c r="B97" i="3"/>
  <c r="H96" i="3"/>
  <c r="G96" i="3"/>
  <c r="I96" i="3" s="1"/>
  <c r="J96" i="3" s="1"/>
  <c r="B96" i="3"/>
  <c r="H95" i="3"/>
  <c r="G95" i="3"/>
  <c r="B95" i="3"/>
  <c r="H94" i="3"/>
  <c r="G94" i="3"/>
  <c r="B94" i="3"/>
  <c r="H93" i="3"/>
  <c r="G93" i="3"/>
  <c r="B93" i="3"/>
  <c r="H92" i="3"/>
  <c r="G92" i="3"/>
  <c r="I92" i="3" s="1"/>
  <c r="J92" i="3" s="1"/>
  <c r="B92" i="3"/>
  <c r="H91" i="3"/>
  <c r="G91" i="3"/>
  <c r="B91" i="3"/>
  <c r="H90" i="3"/>
  <c r="G90" i="3"/>
  <c r="B90" i="3"/>
  <c r="H89" i="3"/>
  <c r="G89" i="3"/>
  <c r="B89" i="3"/>
  <c r="H88" i="3"/>
  <c r="G88" i="3"/>
  <c r="I88" i="3" s="1"/>
  <c r="J88" i="3" s="1"/>
  <c r="B88" i="3"/>
  <c r="H87" i="3"/>
  <c r="G87" i="3"/>
  <c r="B87" i="3"/>
  <c r="H86" i="3"/>
  <c r="G86" i="3"/>
  <c r="B86" i="3"/>
  <c r="H85" i="3"/>
  <c r="G85" i="3"/>
  <c r="B85" i="3"/>
  <c r="H84" i="3"/>
  <c r="G84" i="3"/>
  <c r="I84" i="3" s="1"/>
  <c r="J84" i="3" s="1"/>
  <c r="B84" i="3"/>
  <c r="H83" i="3"/>
  <c r="G83" i="3"/>
  <c r="B83" i="3"/>
  <c r="H82" i="3"/>
  <c r="G82" i="3"/>
  <c r="I82" i="3" s="1"/>
  <c r="J82" i="3" s="1"/>
  <c r="B82" i="3"/>
  <c r="H81" i="3"/>
  <c r="G81" i="3"/>
  <c r="B81" i="3"/>
  <c r="H80" i="3"/>
  <c r="G80" i="3"/>
  <c r="I80" i="3" s="1"/>
  <c r="J80" i="3" s="1"/>
  <c r="B80" i="3"/>
  <c r="H79" i="3"/>
  <c r="G79" i="3"/>
  <c r="B79" i="3"/>
  <c r="H78" i="3"/>
  <c r="G78" i="3"/>
  <c r="I78" i="3" s="1"/>
  <c r="J78" i="3" s="1"/>
  <c r="B78" i="3"/>
  <c r="H77" i="3"/>
  <c r="G77" i="3"/>
  <c r="B77" i="3"/>
  <c r="H76" i="3"/>
  <c r="G76" i="3"/>
  <c r="B76" i="3"/>
  <c r="H75" i="3"/>
  <c r="G75" i="3"/>
  <c r="B75" i="3"/>
  <c r="H74" i="3"/>
  <c r="G74" i="3"/>
  <c r="I74" i="3" s="1"/>
  <c r="J74" i="3" s="1"/>
  <c r="B74" i="3"/>
  <c r="H73" i="3"/>
  <c r="G73" i="3"/>
  <c r="B73" i="3"/>
  <c r="H72" i="3"/>
  <c r="G72" i="3"/>
  <c r="B72" i="3"/>
  <c r="H71" i="3"/>
  <c r="G71" i="3"/>
  <c r="B71" i="3"/>
  <c r="H70" i="3"/>
  <c r="G70" i="3"/>
  <c r="I70" i="3" s="1"/>
  <c r="J70" i="3" s="1"/>
  <c r="B70" i="3"/>
  <c r="H69" i="3"/>
  <c r="G69" i="3"/>
  <c r="B69" i="3"/>
  <c r="H68" i="3"/>
  <c r="G68" i="3"/>
  <c r="B68" i="3"/>
  <c r="H67" i="3"/>
  <c r="G67" i="3"/>
  <c r="B67" i="3"/>
  <c r="H66" i="3"/>
  <c r="G66" i="3"/>
  <c r="I66" i="3" s="1"/>
  <c r="J66" i="3" s="1"/>
  <c r="B66" i="3"/>
  <c r="H65" i="3"/>
  <c r="G65" i="3"/>
  <c r="B65" i="3"/>
  <c r="H64" i="3"/>
  <c r="G64" i="3"/>
  <c r="I64" i="3" s="1"/>
  <c r="J64" i="3" s="1"/>
  <c r="B64" i="3"/>
  <c r="H63" i="3"/>
  <c r="G63" i="3"/>
  <c r="B63" i="3"/>
  <c r="H62" i="3"/>
  <c r="G62" i="3"/>
  <c r="B62" i="3"/>
  <c r="H61" i="3"/>
  <c r="G61" i="3"/>
  <c r="B61" i="3"/>
  <c r="H60" i="3"/>
  <c r="G60" i="3"/>
  <c r="B60" i="3"/>
  <c r="H59" i="3"/>
  <c r="G59" i="3"/>
  <c r="B59" i="3"/>
  <c r="H58" i="3"/>
  <c r="G58" i="3"/>
  <c r="B58" i="3"/>
  <c r="H57" i="3"/>
  <c r="G57" i="3"/>
  <c r="B57" i="3"/>
  <c r="H56" i="3"/>
  <c r="G56" i="3"/>
  <c r="B56" i="3"/>
  <c r="H55" i="3"/>
  <c r="G55" i="3"/>
  <c r="B55" i="3"/>
  <c r="H54" i="3"/>
  <c r="G54" i="3"/>
  <c r="B54" i="3"/>
  <c r="H53" i="3"/>
  <c r="G53" i="3"/>
  <c r="B53" i="3"/>
  <c r="H52" i="3"/>
  <c r="G52" i="3"/>
  <c r="B52" i="3"/>
  <c r="H51" i="3"/>
  <c r="G51" i="3"/>
  <c r="B51" i="3"/>
  <c r="H50" i="3"/>
  <c r="G50" i="3"/>
  <c r="B50" i="3"/>
  <c r="H49" i="3"/>
  <c r="G49" i="3"/>
  <c r="B49" i="3"/>
  <c r="H48" i="3"/>
  <c r="G48" i="3"/>
  <c r="B48" i="3"/>
  <c r="H47" i="3"/>
  <c r="G47" i="3"/>
  <c r="B47" i="3"/>
  <c r="H46" i="3"/>
  <c r="G46" i="3"/>
  <c r="B46" i="3"/>
  <c r="H45" i="3"/>
  <c r="G45" i="3"/>
  <c r="B45" i="3"/>
  <c r="H44" i="3"/>
  <c r="G44" i="3"/>
  <c r="B44" i="3"/>
  <c r="H43" i="3"/>
  <c r="G43" i="3"/>
  <c r="B43" i="3"/>
  <c r="H42" i="3"/>
  <c r="G42" i="3"/>
  <c r="B42" i="3"/>
  <c r="H41" i="3"/>
  <c r="G41" i="3"/>
  <c r="B41" i="3"/>
  <c r="H40" i="3"/>
  <c r="G40" i="3"/>
  <c r="B40" i="3"/>
  <c r="H39" i="3"/>
  <c r="G39" i="3"/>
  <c r="B39" i="3"/>
  <c r="H38" i="3"/>
  <c r="G38" i="3"/>
  <c r="B38" i="3"/>
  <c r="H37" i="3"/>
  <c r="G37" i="3"/>
  <c r="B37" i="3"/>
  <c r="H36" i="3"/>
  <c r="G36" i="3"/>
  <c r="B36" i="3"/>
  <c r="H35" i="3"/>
  <c r="G35" i="3"/>
  <c r="B35" i="3"/>
  <c r="H34" i="3"/>
  <c r="G34" i="3"/>
  <c r="B34" i="3"/>
  <c r="H33" i="3"/>
  <c r="G33" i="3"/>
  <c r="B33" i="3"/>
  <c r="H32" i="3"/>
  <c r="G32" i="3"/>
  <c r="B32" i="3"/>
  <c r="H31" i="3"/>
  <c r="G31" i="3"/>
  <c r="B31" i="3"/>
  <c r="H30" i="3"/>
  <c r="G30" i="3"/>
  <c r="B30" i="3"/>
  <c r="H29" i="3"/>
  <c r="G29" i="3"/>
  <c r="B29" i="3"/>
  <c r="H28" i="3"/>
  <c r="G28" i="3"/>
  <c r="B28" i="3"/>
  <c r="H27" i="3"/>
  <c r="G27" i="3"/>
  <c r="B27" i="3"/>
  <c r="H26" i="3"/>
  <c r="G26" i="3"/>
  <c r="B26" i="3"/>
  <c r="H25" i="3"/>
  <c r="G25" i="3"/>
  <c r="B25" i="3"/>
  <c r="H24" i="3"/>
  <c r="G24" i="3"/>
  <c r="B24" i="3"/>
  <c r="H23" i="3"/>
  <c r="G23" i="3"/>
  <c r="B23" i="3"/>
  <c r="H22" i="3"/>
  <c r="G22" i="3"/>
  <c r="B22" i="3"/>
  <c r="H21" i="3"/>
  <c r="G21" i="3"/>
  <c r="B21" i="3"/>
  <c r="H20" i="3"/>
  <c r="G20" i="3"/>
  <c r="B20" i="3"/>
  <c r="H19" i="3"/>
  <c r="G19" i="3"/>
  <c r="B19" i="3"/>
  <c r="H18" i="3"/>
  <c r="G18" i="3"/>
  <c r="B18" i="3"/>
  <c r="H17" i="3"/>
  <c r="G17" i="3"/>
  <c r="H16" i="3"/>
  <c r="G16" i="3"/>
  <c r="B16" i="3"/>
  <c r="H15" i="3"/>
  <c r="G15" i="3"/>
  <c r="B15" i="3"/>
  <c r="H14" i="3"/>
  <c r="G14" i="3"/>
  <c r="B14" i="3"/>
  <c r="H13" i="3"/>
  <c r="G13" i="3"/>
  <c r="B13" i="3"/>
  <c r="H12" i="3"/>
  <c r="G12" i="3"/>
  <c r="B12" i="3"/>
  <c r="H11" i="3"/>
  <c r="G11" i="3"/>
  <c r="B11" i="3"/>
  <c r="H10" i="3"/>
  <c r="G10" i="3"/>
  <c r="B10" i="3"/>
  <c r="H9" i="3"/>
  <c r="G9" i="3"/>
  <c r="B9" i="3"/>
  <c r="H8" i="3"/>
  <c r="G8" i="3"/>
  <c r="B8" i="3"/>
  <c r="H7" i="3"/>
  <c r="G7" i="3"/>
  <c r="B7" i="3"/>
  <c r="H6" i="3"/>
  <c r="G6" i="3"/>
  <c r="B6" i="3"/>
  <c r="H5" i="3"/>
  <c r="G5" i="3"/>
  <c r="I5" i="3" s="1"/>
  <c r="J5" i="3" s="1"/>
  <c r="B5" i="3"/>
  <c r="H4" i="3"/>
  <c r="G4" i="3"/>
  <c r="B4" i="3"/>
  <c r="H3" i="3"/>
  <c r="G3" i="3"/>
  <c r="B3" i="3"/>
  <c r="I67" i="3" l="1"/>
  <c r="J67" i="3" s="1"/>
  <c r="I71" i="3"/>
  <c r="J71" i="3" s="1"/>
  <c r="I75" i="3"/>
  <c r="J75" i="3" s="1"/>
  <c r="I3" i="3"/>
  <c r="J3" i="3" s="1"/>
  <c r="I72" i="3"/>
  <c r="J72" i="3" s="1"/>
  <c r="I87" i="3"/>
  <c r="J87" i="3" s="1"/>
  <c r="I76" i="3"/>
  <c r="J76" i="3" s="1"/>
  <c r="I91" i="3"/>
  <c r="J91" i="3" s="1"/>
  <c r="I95" i="3"/>
  <c r="J95" i="3" s="1"/>
  <c r="I51" i="3"/>
  <c r="J51" i="3" s="1"/>
  <c r="I61" i="3"/>
  <c r="J61" i="3" s="1"/>
  <c r="I18" i="3"/>
  <c r="J18" i="3" s="1"/>
  <c r="I22" i="3"/>
  <c r="J22" i="3" s="1"/>
  <c r="I30" i="3"/>
  <c r="J30" i="3" s="1"/>
  <c r="I34" i="3"/>
  <c r="J34" i="3" s="1"/>
  <c r="I50" i="3"/>
  <c r="J50" i="3" s="1"/>
  <c r="I10" i="3"/>
  <c r="J10" i="3" s="1"/>
  <c r="I27" i="3"/>
  <c r="J27" i="3" s="1"/>
  <c r="I31" i="3"/>
  <c r="J31" i="3" s="1"/>
  <c r="I39" i="3"/>
  <c r="J39" i="3" s="1"/>
  <c r="I43" i="3"/>
  <c r="J43" i="3" s="1"/>
  <c r="I47" i="3"/>
  <c r="J47" i="3" s="1"/>
  <c r="I63" i="3"/>
  <c r="J63" i="3" s="1"/>
  <c r="I20" i="3"/>
  <c r="J20" i="3" s="1"/>
  <c r="I24" i="3"/>
  <c r="J24" i="3" s="1"/>
  <c r="I32" i="3"/>
  <c r="J32" i="3" s="1"/>
  <c r="I36" i="3"/>
  <c r="J36" i="3" s="1"/>
  <c r="I44" i="3"/>
  <c r="J44" i="3" s="1"/>
  <c r="I48" i="3"/>
  <c r="J48" i="3" s="1"/>
  <c r="I52" i="3"/>
  <c r="J52" i="3" s="1"/>
  <c r="I65" i="3"/>
  <c r="J65" i="3" s="1"/>
  <c r="I69" i="3"/>
  <c r="J69" i="3" s="1"/>
  <c r="I73" i="3"/>
  <c r="J73" i="3" s="1"/>
  <c r="I77" i="3"/>
  <c r="J77" i="3" s="1"/>
  <c r="I81" i="3"/>
  <c r="J81" i="3" s="1"/>
  <c r="I85" i="3"/>
  <c r="J85" i="3" s="1"/>
  <c r="I89" i="3"/>
  <c r="J89" i="3" s="1"/>
  <c r="I93" i="3"/>
  <c r="J93" i="3" s="1"/>
  <c r="I6" i="3"/>
  <c r="J6" i="3" s="1"/>
  <c r="I54" i="3"/>
  <c r="J54" i="3" s="1"/>
  <c r="I58" i="3"/>
  <c r="J58" i="3" s="1"/>
  <c r="I62" i="3"/>
  <c r="J62" i="3" s="1"/>
  <c r="I7" i="3"/>
  <c r="J7" i="3" s="1"/>
  <c r="I15" i="3"/>
  <c r="J15" i="3" s="1"/>
  <c r="I55" i="3"/>
  <c r="J55" i="3" s="1"/>
  <c r="I59" i="3"/>
  <c r="J59" i="3" s="1"/>
  <c r="I4" i="3"/>
  <c r="J4" i="3" s="1"/>
  <c r="I40" i="3"/>
  <c r="J40" i="3" s="1"/>
  <c r="I56" i="3"/>
  <c r="J56" i="3" s="1"/>
  <c r="I60" i="3"/>
  <c r="J60" i="3" s="1"/>
  <c r="I17" i="3"/>
  <c r="J17" i="3" s="1"/>
  <c r="I21" i="3"/>
  <c r="J21" i="3" s="1"/>
  <c r="I29" i="3"/>
  <c r="J29" i="3" s="1"/>
  <c r="I33" i="3"/>
  <c r="J33" i="3" s="1"/>
  <c r="I37" i="3"/>
  <c r="J37" i="3" s="1"/>
  <c r="I41" i="3"/>
  <c r="J41" i="3" s="1"/>
  <c r="I45" i="3"/>
  <c r="J45" i="3" s="1"/>
  <c r="I19" i="3"/>
  <c r="J19" i="3" s="1"/>
  <c r="I23" i="3"/>
  <c r="J23" i="3" s="1"/>
  <c r="I38" i="3"/>
  <c r="J38" i="3" s="1"/>
  <c r="I49" i="3"/>
  <c r="J49" i="3" s="1"/>
  <c r="I86" i="3"/>
  <c r="J86" i="3" s="1"/>
  <c r="I97" i="3"/>
  <c r="J97" i="3" s="1"/>
  <c r="I35" i="3"/>
  <c r="J35" i="3" s="1"/>
  <c r="I42" i="3"/>
  <c r="J42" i="3" s="1"/>
  <c r="I46" i="3"/>
  <c r="J46" i="3" s="1"/>
  <c r="I53" i="3"/>
  <c r="J53" i="3" s="1"/>
  <c r="I57" i="3"/>
  <c r="J57" i="3" s="1"/>
  <c r="I68" i="3"/>
  <c r="J68" i="3" s="1"/>
  <c r="I79" i="3"/>
  <c r="J79" i="3" s="1"/>
  <c r="I83" i="3"/>
  <c r="J83" i="3" s="1"/>
  <c r="I90" i="3"/>
  <c r="J90" i="3" s="1"/>
  <c r="I94" i="3"/>
  <c r="J94" i="3" s="1"/>
  <c r="I8" i="3"/>
  <c r="J8" i="3" s="1"/>
  <c r="I12" i="3"/>
  <c r="J12" i="3" s="1"/>
  <c r="I16" i="3"/>
  <c r="J16" i="3" s="1"/>
  <c r="I11" i="3"/>
  <c r="J11" i="3" s="1"/>
  <c r="I28" i="3"/>
  <c r="J28" i="3" s="1"/>
  <c r="I9" i="3"/>
  <c r="J9" i="3" s="1"/>
  <c r="I13" i="3"/>
  <c r="J13" i="3" s="1"/>
  <c r="I25" i="3"/>
  <c r="J25" i="3" s="1"/>
  <c r="I14" i="3"/>
  <c r="J14" i="3" s="1"/>
  <c r="I26" i="3"/>
  <c r="J26" i="3" s="1"/>
</calcChain>
</file>

<file path=xl/sharedStrings.xml><?xml version="1.0" encoding="utf-8"?>
<sst xmlns="http://schemas.openxmlformats.org/spreadsheetml/2006/main" count="351" uniqueCount="294">
  <si>
    <t>Negro</t>
  </si>
  <si>
    <t>BERMA</t>
  </si>
  <si>
    <t>ARCOLOR</t>
  </si>
  <si>
    <t>21B-Master Azul</t>
  </si>
  <si>
    <t>A4- Master Azul 3351</t>
  </si>
  <si>
    <t xml:space="preserve">BERMA </t>
  </si>
  <si>
    <t>B6- Master Verde 113227</t>
  </si>
  <si>
    <t>ARCOLOR V-O</t>
  </si>
  <si>
    <t>A6-Master Verde 4170</t>
  </si>
  <si>
    <t>B7-Master Rojo 100319</t>
  </si>
  <si>
    <t>YUTE</t>
  </si>
  <si>
    <t>A14- Master Yute 4101</t>
  </si>
  <si>
    <t>001B-Rejilla -Unico - Negro</t>
  </si>
  <si>
    <t>004A-Rejilla -Unico - Blanco</t>
  </si>
  <si>
    <t>005B-Rejilla -Unico - Azul claro</t>
  </si>
  <si>
    <t>006A-Rejilla -Unico - Amarillo</t>
  </si>
  <si>
    <t>08B-Rejilla -Unico - Rojo</t>
  </si>
  <si>
    <t>078A-Rejilla -Unico -Yute</t>
  </si>
  <si>
    <t>010A-Rejilla -Unico - Naranja</t>
  </si>
  <si>
    <t>009B-Rejilla -Unico - Celeste</t>
  </si>
  <si>
    <t>002B-Rejilla -Unico - Gris oscuro</t>
  </si>
  <si>
    <t>003B-Rejilla -Unico - Gris claro</t>
  </si>
  <si>
    <t>075A-Rejilla-Unico-Azul oscuro</t>
  </si>
  <si>
    <t>007B-Rejilla -Unico - Verde claro</t>
  </si>
  <si>
    <t>072A-Rejilla-Unico-Verde oscuro</t>
  </si>
  <si>
    <t>B1-Master Gris oscuro 105808</t>
  </si>
  <si>
    <t>A5Master Amarillo 7228</t>
  </si>
  <si>
    <t>A9-Master Naranja 7363</t>
  </si>
  <si>
    <t>B11-Master Celeste 112228</t>
  </si>
  <si>
    <t>A3- Master Blanco 7500</t>
  </si>
  <si>
    <t>B10-Master Gris claro (Gris oscuro nordico 108900)</t>
  </si>
  <si>
    <t>24B-Master Negro 951</t>
  </si>
  <si>
    <t>MATERIAL VIRGEN</t>
  </si>
  <si>
    <t>STOCK A FECHA  31/08/2026</t>
  </si>
  <si>
    <t>INGRESOS</t>
  </si>
  <si>
    <t>EGRESOS</t>
  </si>
  <si>
    <t>STOCK A FECHA  30/09/2026</t>
  </si>
  <si>
    <t>FISICO AL 18/09/2026</t>
  </si>
  <si>
    <t xml:space="preserve">DIFERENCIA DE STOCK </t>
  </si>
  <si>
    <t>AGRGADOS</t>
  </si>
  <si>
    <t>STOCK MINIMO</t>
  </si>
  <si>
    <t>STOCK MAXIMO</t>
  </si>
  <si>
    <t>3-Polipropileno COPOLIMERO   COD:2630PC</t>
  </si>
  <si>
    <t xml:space="preserve">04- polipropileno homopolimero </t>
  </si>
  <si>
    <t>6-Polietileno COD:8818 MEDIA</t>
  </si>
  <si>
    <t>21-Master Azul</t>
  </si>
  <si>
    <t>24-Master negro 951</t>
  </si>
  <si>
    <t>B3-Master Blanco</t>
  </si>
  <si>
    <t>B4-Master Azul oscuro 100954</t>
  </si>
  <si>
    <t xml:space="preserve">B5- Master Amarillo 114247 </t>
  </si>
  <si>
    <t>A5- Master Amarillo 7228</t>
  </si>
  <si>
    <t>A3-MASTER BLANCO 7500</t>
  </si>
  <si>
    <t>Materiales de muestra o alternativos</t>
  </si>
  <si>
    <t>P1-Master Gris Oscuro 991700</t>
  </si>
  <si>
    <t>P2 Master Gris Claro 991010</t>
  </si>
  <si>
    <t>P3-Master Blanco</t>
  </si>
  <si>
    <t>P4-Master Azul oscuro 961515</t>
  </si>
  <si>
    <t>P5- Master Amarillo1303342</t>
  </si>
  <si>
    <t>P6- Master Verde 1704673</t>
  </si>
  <si>
    <t>P7-Master Rojo1501925</t>
  </si>
  <si>
    <t>P8-Master Azul claro am 068</t>
  </si>
  <si>
    <t>P9-Master Naranja 1100406</t>
  </si>
  <si>
    <t>P10-Master negro991333</t>
  </si>
  <si>
    <t>P11-Master celeste  961150</t>
  </si>
  <si>
    <t>P15-master perlado 020</t>
  </si>
  <si>
    <t>A12-MASTER VIOLETA 3353</t>
  </si>
  <si>
    <t>A13-MASTER OBISPO 3119</t>
  </si>
  <si>
    <t>B16-fucsia 107410</t>
  </si>
  <si>
    <t>40- Polipropileno copolimero kunlun</t>
  </si>
  <si>
    <t>41-polipropileno copolimero  sinopec</t>
  </si>
  <si>
    <t>A10-Master gris 3218</t>
  </si>
  <si>
    <t>A17-Master Metal Plata 3018</t>
  </si>
  <si>
    <t xml:space="preserve">Sobrantes y moliendas </t>
  </si>
  <si>
    <t>400-molienda mezcla de pisos(prueba)</t>
  </si>
  <si>
    <t>401- molienda p.rejillas (c-31)</t>
  </si>
  <si>
    <t xml:space="preserve">402- sobrante polipropileno Copolimero 2630p </t>
  </si>
  <si>
    <t>403- sobrante polipropileno Copolimero 2240p</t>
  </si>
  <si>
    <t xml:space="preserve">404- sobante plastomer </t>
  </si>
  <si>
    <t>405- sobrante  polipropileno homopolimero</t>
  </si>
  <si>
    <t>406-Sobante polipropileno homopolimero esencia</t>
  </si>
  <si>
    <t>407- sobrante homopolimero esencia c M/ AZUL</t>
  </si>
  <si>
    <t>408-sobrante plastomer y copolimero 2630pc c/ gris oscuro nordico</t>
  </si>
  <si>
    <t>409-sobrante compuesto PE AD SN</t>
  </si>
  <si>
    <t>410-Molienda P- ciego c03+c19</t>
  </si>
  <si>
    <t>161-sobrante pp copolimero 2240p c/m azul</t>
  </si>
  <si>
    <t>110-sobrante plastomer</t>
  </si>
  <si>
    <t xml:space="preserve">las celdas resaltadas en celeste son los colores seleccionados para el catalogo </t>
  </si>
  <si>
    <t>falta ordenarlos en MP</t>
  </si>
  <si>
    <t>NUMERO</t>
  </si>
  <si>
    <t>CODIGO DE BARRAS</t>
  </si>
  <si>
    <t xml:space="preserve"> ARTICULO</t>
  </si>
  <si>
    <t>Color</t>
  </si>
  <si>
    <t>STOCK AL 07/08/2026</t>
  </si>
  <si>
    <t>ENTRADAS</t>
  </si>
  <si>
    <t>SALIDAS</t>
  </si>
  <si>
    <t>STOCK A FECHA 2</t>
  </si>
  <si>
    <t>m2</t>
  </si>
  <si>
    <t>MAXIMO</t>
  </si>
  <si>
    <t>MINIMO</t>
  </si>
  <si>
    <t>001B-RU-NE</t>
  </si>
  <si>
    <t>002B-RU-GO</t>
  </si>
  <si>
    <t>003B-RU-GC</t>
  </si>
  <si>
    <t>004A-RU-BL</t>
  </si>
  <si>
    <t>009B-RU-C</t>
  </si>
  <si>
    <t>005B-RU-AC</t>
  </si>
  <si>
    <t>075A-RU-AO</t>
  </si>
  <si>
    <t>006A-RU-AM</t>
  </si>
  <si>
    <t>007B-RU-VC</t>
  </si>
  <si>
    <t>072A-RU-VO</t>
  </si>
  <si>
    <t>008B-RU-RO</t>
  </si>
  <si>
    <t>078A-RU-YU</t>
  </si>
  <si>
    <t>010A-RU-NA</t>
  </si>
  <si>
    <t>011B-RE-NE</t>
  </si>
  <si>
    <t>011B-Rejilla -Esquinero - Negro</t>
  </si>
  <si>
    <t>021B-</t>
  </si>
  <si>
    <t>012B-RE-GO</t>
  </si>
  <si>
    <t>013B-RE-GC</t>
  </si>
  <si>
    <t>014A-RE-BL</t>
  </si>
  <si>
    <t>014A-Rejilla -Esquinero - Blanco</t>
  </si>
  <si>
    <t>019B-RE-C</t>
  </si>
  <si>
    <t>019B-Rejilla -Esquinero - Celeste</t>
  </si>
  <si>
    <t>015B-RE-AC</t>
  </si>
  <si>
    <t>015B-Rejilla -Esquinero - Azul claro</t>
  </si>
  <si>
    <t>076A-RE-AO</t>
  </si>
  <si>
    <t>016A-RE-AM</t>
  </si>
  <si>
    <t>016A-Rejilla -Esquinero - Amarillo</t>
  </si>
  <si>
    <t>017B-RE-VC</t>
  </si>
  <si>
    <t>073A-RE-VO</t>
  </si>
  <si>
    <t>018B-RE-RO</t>
  </si>
  <si>
    <t>018B-Rejilla -Esquinero - Rojo</t>
  </si>
  <si>
    <t>079A-RE-YT</t>
  </si>
  <si>
    <t>079A-Rejilla - Esquinero - YUTE</t>
  </si>
  <si>
    <t>020A-RE-NA</t>
  </si>
  <si>
    <t>020A-Rejilla -Esquinero - Naranja</t>
  </si>
  <si>
    <t>021B-RB-NE</t>
  </si>
  <si>
    <t>021B-Rejilla -Borde - Negro</t>
  </si>
  <si>
    <t>022B-RB-GO</t>
  </si>
  <si>
    <t>023B-RB-GC</t>
  </si>
  <si>
    <t>024A-RB-BL</t>
  </si>
  <si>
    <t>024A-Rejilla -Borde - Blanco</t>
  </si>
  <si>
    <t>029B-RB-C</t>
  </si>
  <si>
    <t>029B-Rejilla -Borde - Celeste</t>
  </si>
  <si>
    <t>025B-RB-AC</t>
  </si>
  <si>
    <t>025B-Rejilla -Borde - Azul claro</t>
  </si>
  <si>
    <t>077A-RB-AO</t>
  </si>
  <si>
    <t>026A-RB-AM</t>
  </si>
  <si>
    <t>026A-Rejilla -Borde - Amarillo</t>
  </si>
  <si>
    <t>027B-RB-VC</t>
  </si>
  <si>
    <t>074A-RB-VO</t>
  </si>
  <si>
    <t>028B-RB-RO</t>
  </si>
  <si>
    <t>028B-Rejilla -Borde - Rojo</t>
  </si>
  <si>
    <t>080A-RB-YT</t>
  </si>
  <si>
    <t>080A-Rejilla - Borde - YUTE</t>
  </si>
  <si>
    <t>030A-RB-NA</t>
  </si>
  <si>
    <t>030A-Rejilla - Borde- Naranja</t>
  </si>
  <si>
    <t>031B-CM-NE</t>
  </si>
  <si>
    <t>031B-Ciego - Moneda - Negro</t>
  </si>
  <si>
    <t>032B-CT-NE</t>
  </si>
  <si>
    <t>032B-Ciego - Trama - Negro</t>
  </si>
  <si>
    <t>033B- CM-GO</t>
  </si>
  <si>
    <t>034B-CT-GO</t>
  </si>
  <si>
    <t>035B-CM-GC</t>
  </si>
  <si>
    <t>036B-CT-GC</t>
  </si>
  <si>
    <t>083A-CM-BL</t>
  </si>
  <si>
    <t>083A-Ciego- Moneda -Blanco</t>
  </si>
  <si>
    <t>084A-CT-BL</t>
  </si>
  <si>
    <t>084A-Ciego-Trama - Blanco</t>
  </si>
  <si>
    <t>081B-CM-C</t>
  </si>
  <si>
    <t xml:space="preserve">081B-Ciego-Moneda -Celeste </t>
  </si>
  <si>
    <t>082B-CT-C</t>
  </si>
  <si>
    <t xml:space="preserve">082B-Ciego-Trama - Celeste </t>
  </si>
  <si>
    <t>045B-CM-AC</t>
  </si>
  <si>
    <t>045B-Ciego - Moneda - Azul claro</t>
  </si>
  <si>
    <t>046B-CT-AC</t>
  </si>
  <si>
    <t>046B-Ciego - Trama - Azul claro</t>
  </si>
  <si>
    <t>037A-CM-AO</t>
  </si>
  <si>
    <t>037A-Ciego - Moneda - Azul oscuro</t>
  </si>
  <si>
    <t>038A-CT-AO</t>
  </si>
  <si>
    <t>038A-Ciego - Trama - Azul oscuro</t>
  </si>
  <si>
    <t>039A-CM-AM</t>
  </si>
  <si>
    <t>039A-Ciego - Moneda - Amarillo</t>
  </si>
  <si>
    <t>040A-CT-AM</t>
  </si>
  <si>
    <t>040A-Ciego - Trama - Amarillo</t>
  </si>
  <si>
    <t>041B-CM-VC</t>
  </si>
  <si>
    <t>041B-Ciego - Moneda - Verde claro</t>
  </si>
  <si>
    <t>042B-CT-VC</t>
  </si>
  <si>
    <t>042B-Ciego - Trama - Verde claro</t>
  </si>
  <si>
    <t>085A-CM-VO</t>
  </si>
  <si>
    <t>085A-Ciego - Moneda - Verde oscuro</t>
  </si>
  <si>
    <t>086A-CT-VO</t>
  </si>
  <si>
    <t>086A-Ciego - Trama - Verde oscuro</t>
  </si>
  <si>
    <t>043B-CM-RO</t>
  </si>
  <si>
    <t>043B-Ciego - Moneda - Rojo</t>
  </si>
  <si>
    <t>044B-CT-RO</t>
  </si>
  <si>
    <t>044B-Ciego - Trama - Rojo</t>
  </si>
  <si>
    <t>068A-CM-YT</t>
  </si>
  <si>
    <t>068A-Ciego - Moneda - YUTE</t>
  </si>
  <si>
    <t>071A-CT-YT</t>
  </si>
  <si>
    <t>071A-Ciego - Trama - YUTE</t>
  </si>
  <si>
    <t>047A-CM-NA</t>
  </si>
  <si>
    <t>047A-Ciego - Moneda-Naranja</t>
  </si>
  <si>
    <t>048B-CT-NA</t>
  </si>
  <si>
    <t>048B-Ciego - Trama-Naranja</t>
  </si>
  <si>
    <t>049B-CE-NE</t>
  </si>
  <si>
    <t>049B-Ciego - Esquinero - Negro</t>
  </si>
  <si>
    <t>050B-CE-GO</t>
  </si>
  <si>
    <t>050B-Ciego - Esquinero - Gris Oscuro</t>
  </si>
  <si>
    <t>051B-CE-GC</t>
  </si>
  <si>
    <t>051B-Ciego - Esquinero - Gris Claro</t>
  </si>
  <si>
    <t>087A-CE-B</t>
  </si>
  <si>
    <t>087A-Ciego - Esquinero - Blanco</t>
  </si>
  <si>
    <t>088B-CE-C</t>
  </si>
  <si>
    <t>088B-Ciego - Esquinero -Celeste</t>
  </si>
  <si>
    <t>056B-CE-AC</t>
  </si>
  <si>
    <t>056B-Ciego - Esquinero - Azul claro</t>
  </si>
  <si>
    <t>052B-CE-AO</t>
  </si>
  <si>
    <t>052B-Ciego - Esquinero - Azul oscuro</t>
  </si>
  <si>
    <t>053A-CE-AM</t>
  </si>
  <si>
    <t>053A-Ciego - Esquinero - Amarillo</t>
  </si>
  <si>
    <t>054B-CE-VC</t>
  </si>
  <si>
    <t>089A-CE-VO</t>
  </si>
  <si>
    <t>089A-Ciego - Esquinero - Verde oscuro</t>
  </si>
  <si>
    <t>055B-CE-RO</t>
  </si>
  <si>
    <t>055B-Ciego - Esquinero - Rojo</t>
  </si>
  <si>
    <t>070A-CE-YT</t>
  </si>
  <si>
    <t>070A-Ciego - Esquinero - YUTE</t>
  </si>
  <si>
    <t>057A-CE-NA</t>
  </si>
  <si>
    <t>057A-Ciego - Esquinero - Naranja</t>
  </si>
  <si>
    <t>058B-CB-NE</t>
  </si>
  <si>
    <t>058B-Ciego - Borde - Negro</t>
  </si>
  <si>
    <t>059B-CB-GO</t>
  </si>
  <si>
    <t>060B-CB-GC</t>
  </si>
  <si>
    <t>090A-CB-B</t>
  </si>
  <si>
    <t>090A-Ciego - Borde - Blanco</t>
  </si>
  <si>
    <t>065B-CB-C</t>
  </si>
  <si>
    <t>065B-Ciego - Borde - Celeste</t>
  </si>
  <si>
    <t>091B-CB-AC</t>
  </si>
  <si>
    <t>091B-Ciego - Borde - Azul claro</t>
  </si>
  <si>
    <t>061B-CB-AO</t>
  </si>
  <si>
    <t>061B-Ciego - Borde - Azul oscuro</t>
  </si>
  <si>
    <t>062A-CB-AM</t>
  </si>
  <si>
    <t>062A-Ciego - Borde - Amarillo</t>
  </si>
  <si>
    <t>063B-CB-VC</t>
  </si>
  <si>
    <t>092A-CB-VO</t>
  </si>
  <si>
    <t>092A-Ciego - Borde - Verde oscuro</t>
  </si>
  <si>
    <t>064B-CB-RO</t>
  </si>
  <si>
    <t>064B-Ciego - Borde - Rojo</t>
  </si>
  <si>
    <t>069A-CB-YT</t>
  </si>
  <si>
    <t>069A-Ciego - Borde - YUTE</t>
  </si>
  <si>
    <t>066A-CB-NA</t>
  </si>
  <si>
    <t>066A-Ciego - Borde - Naranja</t>
  </si>
  <si>
    <t xml:space="preserve">Otros </t>
  </si>
  <si>
    <t>067-grampa</t>
  </si>
  <si>
    <t xml:space="preserve">067 Grampa de union </t>
  </si>
  <si>
    <t>100-C-CH</t>
  </si>
  <si>
    <t>100-CAJAS CHICAS con logo</t>
  </si>
  <si>
    <t>101-C-GR</t>
  </si>
  <si>
    <t xml:space="preserve">101-CAJAS GRANDE con logo </t>
  </si>
  <si>
    <t>004A-Rejilla -Unico - blanco</t>
  </si>
  <si>
    <t>012B-Rejilla -Esquinero - Gris oscuro</t>
  </si>
  <si>
    <t>013B-Rejilla -Esquinero - Gris claro</t>
  </si>
  <si>
    <t>076A-Rejilla-Esquinero-Azul  oscuro</t>
  </si>
  <si>
    <t>017B-Rejilla -Esquinero - Verde claro</t>
  </si>
  <si>
    <t>073A-Rejilla-Esquinero-Verde oscuro</t>
  </si>
  <si>
    <t>022B-Rejilla -Borde - Gris oscuro</t>
  </si>
  <si>
    <t>023B-Rejilla -Borde - Gris claro</t>
  </si>
  <si>
    <t>077A-Rejilla-Borde-Azul oscuro</t>
  </si>
  <si>
    <t>027B-Rejilla -Borde - Verde claro</t>
  </si>
  <si>
    <t>074A-Rejilla-Borde-Verde oscuro</t>
  </si>
  <si>
    <t>033B-Ciego - Moneda - Gris oscuro</t>
  </si>
  <si>
    <t>034B-Ciego - Trama - Gris oscuro</t>
  </si>
  <si>
    <t>035B-Ciego - Moneda - Gris claro</t>
  </si>
  <si>
    <t>036B-Ciego - Trama - Gris claro</t>
  </si>
  <si>
    <t>054B-Ciego - Esquinero - Verde claro</t>
  </si>
  <si>
    <t>059B-Ciego -Borde  - Gris oscuro</t>
  </si>
  <si>
    <t>060B-Ciego - Borde - Gris claro</t>
  </si>
  <si>
    <t>063B-Ciego - Borde - Verde claro</t>
  </si>
  <si>
    <t>002B-Rejilla -Unico - Gris Oscuro</t>
  </si>
  <si>
    <t>003B-Rejilla -Unico - Gris Claro</t>
  </si>
  <si>
    <t>009B-Rejilla -Unico - CELESTE</t>
  </si>
  <si>
    <t>075A-Rejilla-Unico-Azul Oscuro</t>
  </si>
  <si>
    <t>007B-Rejilla -Unico - Verde Claro</t>
  </si>
  <si>
    <t>072A-Rejilla-Unico-Verde Oscuro</t>
  </si>
  <si>
    <t>Materia prima</t>
  </si>
  <si>
    <t xml:space="preserve">Stock de pisos </t>
  </si>
  <si>
    <t xml:space="preserve">Codigo de barras </t>
  </si>
  <si>
    <t xml:space="preserve"> Articulo</t>
  </si>
  <si>
    <t xml:space="preserve">Proveedor </t>
  </si>
  <si>
    <t xml:space="preserve">Codigo </t>
  </si>
  <si>
    <t>009B-RU-CE</t>
  </si>
  <si>
    <t>19- Plastomer</t>
  </si>
  <si>
    <t>31-Copolimero 2240 P</t>
  </si>
  <si>
    <t>38-Compuesto PE AD SN</t>
  </si>
  <si>
    <t>B10-Master Gris oscuro nor 108900 (gris claro catalogo)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</si>
</sst>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_ ;\-0.000\ 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D35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0" xfId="0" applyFill="1" applyBorder="1"/>
    <xf numFmtId="164" fontId="0" fillId="0" borderId="20" xfId="0" applyNumberFormat="1" applyFill="1" applyBorder="1" applyAlignment="1">
      <alignment horizontal="center"/>
    </xf>
    <xf numFmtId="165" fontId="0" fillId="0" borderId="20" xfId="0" applyNumberFormat="1" applyFill="1" applyBorder="1" applyAlignment="1">
      <alignment horizontal="center"/>
    </xf>
    <xf numFmtId="164" fontId="4" fillId="0" borderId="20" xfId="0" applyNumberFormat="1" applyFont="1" applyFill="1" applyBorder="1" applyAlignment="1">
      <alignment horizontal="center"/>
    </xf>
    <xf numFmtId="1" fontId="5" fillId="0" borderId="20" xfId="0" applyNumberFormat="1" applyFont="1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4" fillId="15" borderId="1" xfId="0" applyFont="1" applyFill="1" applyBorder="1"/>
    <xf numFmtId="0" fontId="4" fillId="15" borderId="1" xfId="0" applyFont="1" applyFill="1" applyBorder="1" applyAlignment="1">
      <alignment horizontal="left" vertical="center" wrapText="1"/>
    </xf>
    <xf numFmtId="1" fontId="3" fillId="0" borderId="2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center" wrapText="1"/>
    </xf>
    <xf numFmtId="165" fontId="3" fillId="0" borderId="21" xfId="0" applyNumberFormat="1" applyFont="1" applyFill="1" applyBorder="1" applyAlignment="1">
      <alignment horizontal="center" wrapText="1"/>
    </xf>
    <xf numFmtId="1" fontId="3" fillId="0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0" fillId="0" borderId="1" xfId="0" applyBorder="1"/>
    <xf numFmtId="0" fontId="0" fillId="15" borderId="1" xfId="0" applyFill="1" applyBorder="1" applyAlignment="1">
      <alignment horizontal="left" vertical="center" wrapText="1"/>
    </xf>
    <xf numFmtId="0" fontId="6" fillId="0" borderId="1" xfId="0" applyFont="1" applyFill="1" applyBorder="1"/>
    <xf numFmtId="164" fontId="0" fillId="15" borderId="1" xfId="0" applyNumberFormat="1" applyFill="1" applyBorder="1" applyAlignment="1">
      <alignment horizontal="center"/>
    </xf>
    <xf numFmtId="165" fontId="0" fillId="15" borderId="20" xfId="0" applyNumberFormat="1" applyFill="1" applyBorder="1" applyAlignment="1">
      <alignment horizontal="center"/>
    </xf>
    <xf numFmtId="164" fontId="0" fillId="15" borderId="20" xfId="0" applyNumberFormat="1" applyFill="1" applyBorder="1" applyAlignment="1">
      <alignment horizontal="center"/>
    </xf>
    <xf numFmtId="164" fontId="4" fillId="15" borderId="20" xfId="0" applyNumberFormat="1" applyFont="1" applyFill="1" applyBorder="1" applyAlignment="1">
      <alignment horizontal="center"/>
    </xf>
    <xf numFmtId="1" fontId="4" fillId="15" borderId="1" xfId="0" applyNumberFormat="1" applyFont="1" applyFill="1" applyBorder="1" applyAlignment="1">
      <alignment horizontal="center"/>
    </xf>
    <xf numFmtId="1" fontId="3" fillId="15" borderId="21" xfId="0" applyNumberFormat="1" applyFont="1" applyFill="1" applyBorder="1" applyAlignment="1">
      <alignment horizontal="center" wrapText="1"/>
    </xf>
    <xf numFmtId="165" fontId="3" fillId="15" borderId="21" xfId="0" applyNumberFormat="1" applyFont="1" applyFill="1" applyBorder="1" applyAlignment="1">
      <alignment horizontal="center" wrapText="1"/>
    </xf>
    <xf numFmtId="0" fontId="0" fillId="0" borderId="0" xfId="0" applyFill="1"/>
    <xf numFmtId="164" fontId="4" fillId="15" borderId="1" xfId="0" applyNumberFormat="1" applyFont="1" applyFill="1" applyBorder="1" applyAlignment="1">
      <alignment horizontal="center"/>
    </xf>
    <xf numFmtId="1" fontId="3" fillId="15" borderId="1" xfId="0" applyNumberFormat="1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21" xfId="0" applyFill="1" applyBorder="1"/>
    <xf numFmtId="0" fontId="3" fillId="0" borderId="10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left" vertical="center" wrapText="1"/>
    </xf>
    <xf numFmtId="164" fontId="0" fillId="0" borderId="21" xfId="0" applyNumberFormat="1" applyFill="1" applyBorder="1" applyAlignment="1">
      <alignment horizontal="center"/>
    </xf>
    <xf numFmtId="165" fontId="0" fillId="0" borderId="22" xfId="0" applyNumberFormat="1" applyFill="1" applyBorder="1" applyAlignment="1">
      <alignment horizontal="center"/>
    </xf>
    <xf numFmtId="164" fontId="0" fillId="0" borderId="22" xfId="0" applyNumberFormat="1" applyFill="1" applyBorder="1" applyAlignment="1">
      <alignment horizontal="center"/>
    </xf>
    <xf numFmtId="164" fontId="4" fillId="0" borderId="21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14" fontId="3" fillId="0" borderId="10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Fill="1" applyBorder="1" applyAlignment="1">
      <alignment horizontal="center" vertical="center" wrapText="1"/>
    </xf>
    <xf numFmtId="14" fontId="3" fillId="0" borderId="8" xfId="0" applyNumberFormat="1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0" fillId="15" borderId="21" xfId="0" applyFill="1" applyBorder="1"/>
    <xf numFmtId="164" fontId="0" fillId="15" borderId="21" xfId="0" applyNumberFormat="1" applyFill="1" applyBorder="1" applyAlignment="1">
      <alignment horizontal="center"/>
    </xf>
    <xf numFmtId="165" fontId="0" fillId="15" borderId="22" xfId="0" applyNumberFormat="1" applyFill="1" applyBorder="1" applyAlignment="1">
      <alignment horizontal="center"/>
    </xf>
    <xf numFmtId="164" fontId="0" fillId="15" borderId="22" xfId="0" applyNumberFormat="1" applyFill="1" applyBorder="1" applyAlignment="1">
      <alignment horizontal="center"/>
    </xf>
    <xf numFmtId="164" fontId="4" fillId="15" borderId="22" xfId="0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 vertical="center" wrapText="1"/>
    </xf>
    <xf numFmtId="165" fontId="3" fillId="0" borderId="22" xfId="0" applyNumberFormat="1" applyFont="1" applyFill="1" applyBorder="1" applyAlignment="1">
      <alignment horizontal="center" wrapText="1"/>
    </xf>
    <xf numFmtId="0" fontId="3" fillId="0" borderId="9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7" fillId="15" borderId="0" xfId="0" applyFont="1" applyFill="1"/>
    <xf numFmtId="0" fontId="0" fillId="15" borderId="0" xfId="0" applyFill="1"/>
    <xf numFmtId="0" fontId="8" fillId="5" borderId="12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9" fillId="5" borderId="23" xfId="0" applyFont="1" applyFill="1" applyBorder="1" applyAlignment="1" applyProtection="1">
      <alignment horizontal="center" vertical="center" wrapText="1"/>
      <protection hidden="1"/>
    </xf>
    <xf numFmtId="0" fontId="10" fillId="5" borderId="23" xfId="0" applyFont="1" applyFill="1" applyBorder="1" applyAlignment="1" applyProtection="1">
      <alignment horizontal="center" vertical="center" wrapText="1"/>
      <protection hidden="1"/>
    </xf>
    <xf numFmtId="1" fontId="10" fillId="0" borderId="24" xfId="0" applyNumberFormat="1" applyFont="1" applyFill="1" applyBorder="1" applyAlignment="1" applyProtection="1">
      <alignment horizontal="center" vertical="center" wrapText="1"/>
      <protection hidden="1"/>
    </xf>
    <xf numFmtId="0" fontId="10" fillId="5" borderId="23" xfId="0" applyFont="1" applyFill="1" applyBorder="1" applyAlignment="1" applyProtection="1">
      <alignment horizontal="center" vertical="center" wrapText="1"/>
      <protection locked="0"/>
    </xf>
    <xf numFmtId="0" fontId="10" fillId="0" borderId="25" xfId="0" applyFont="1" applyFill="1" applyBorder="1" applyAlignment="1" applyProtection="1">
      <alignment horizontal="center" vertical="center" wrapText="1"/>
      <protection locked="0"/>
    </xf>
    <xf numFmtId="43" fontId="4" fillId="0" borderId="15" xfId="1" applyFont="1" applyFill="1" applyBorder="1" applyProtection="1">
      <protection hidden="1"/>
    </xf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1" fontId="0" fillId="0" borderId="1" xfId="0" applyNumberFormat="1" applyFill="1" applyBorder="1" applyProtection="1">
      <protection hidden="1"/>
    </xf>
    <xf numFmtId="1" fontId="0" fillId="14" borderId="1" xfId="0" applyNumberFormat="1" applyFill="1" applyBorder="1" applyProtection="1">
      <protection hidden="1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43" fontId="4" fillId="17" borderId="15" xfId="1" applyFont="1" applyFill="1" applyBorder="1" applyProtection="1">
      <protection hidden="1"/>
    </xf>
    <xf numFmtId="0" fontId="0" fillId="11" borderId="3" xfId="0" applyFill="1" applyBorder="1" applyAlignment="1">
      <alignment horizontal="center" vertical="center"/>
    </xf>
    <xf numFmtId="43" fontId="4" fillId="0" borderId="16" xfId="1" applyFont="1" applyFill="1" applyBorder="1" applyProtection="1">
      <protection hidden="1"/>
    </xf>
    <xf numFmtId="0" fontId="0" fillId="0" borderId="17" xfId="0" applyBorder="1"/>
    <xf numFmtId="0" fontId="0" fillId="0" borderId="4" xfId="0" applyBorder="1"/>
    <xf numFmtId="0" fontId="0" fillId="12" borderId="5" xfId="0" applyFill="1" applyBorder="1" applyAlignment="1">
      <alignment horizontal="center" vertical="center"/>
    </xf>
    <xf numFmtId="43" fontId="4" fillId="0" borderId="12" xfId="1" applyFont="1" applyFill="1" applyBorder="1" applyProtection="1">
      <protection hidden="1"/>
    </xf>
    <xf numFmtId="0" fontId="0" fillId="0" borderId="13" xfId="0" applyBorder="1"/>
    <xf numFmtId="0" fontId="0" fillId="0" borderId="14" xfId="0" applyBorder="1"/>
    <xf numFmtId="0" fontId="0" fillId="0" borderId="1" xfId="0" applyFill="1" applyBorder="1" applyProtection="1">
      <protection hidden="1"/>
    </xf>
    <xf numFmtId="1" fontId="0" fillId="14" borderId="1" xfId="0" applyNumberFormat="1" applyFill="1" applyBorder="1" applyProtection="1">
      <protection locked="0"/>
    </xf>
    <xf numFmtId="0" fontId="0" fillId="17" borderId="3" xfId="0" applyFill="1" applyBorder="1" applyAlignment="1">
      <alignment horizontal="center" vertical="center"/>
    </xf>
    <xf numFmtId="43" fontId="4" fillId="17" borderId="16" xfId="1" applyFont="1" applyFill="1" applyBorder="1" applyProtection="1">
      <protection hidden="1"/>
    </xf>
    <xf numFmtId="0" fontId="0" fillId="2" borderId="2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43" fontId="4" fillId="16" borderId="20" xfId="1" applyFont="1" applyFill="1" applyBorder="1" applyProtection="1">
      <protection hidden="1"/>
    </xf>
    <xf numFmtId="0" fontId="0" fillId="16" borderId="20" xfId="0" applyFill="1" applyBorder="1"/>
    <xf numFmtId="0" fontId="0" fillId="16" borderId="27" xfId="0" applyFill="1" applyBorder="1"/>
    <xf numFmtId="0" fontId="0" fillId="16" borderId="1" xfId="0" applyFill="1" applyBorder="1"/>
    <xf numFmtId="1" fontId="0" fillId="16" borderId="1" xfId="0" applyNumberFormat="1" applyFill="1" applyBorder="1" applyProtection="1">
      <protection hidden="1"/>
    </xf>
    <xf numFmtId="1" fontId="0" fillId="16" borderId="1" xfId="0" applyNumberFormat="1" applyFill="1" applyBorder="1" applyProtection="1">
      <protection locked="0"/>
    </xf>
    <xf numFmtId="0" fontId="0" fillId="16" borderId="1" xfId="0" applyFill="1" applyBorder="1" applyProtection="1">
      <protection locked="0"/>
    </xf>
    <xf numFmtId="43" fontId="4" fillId="16" borderId="1" xfId="1" applyFont="1" applyFill="1" applyBorder="1" applyProtection="1">
      <protection hidden="1"/>
    </xf>
    <xf numFmtId="0" fontId="0" fillId="16" borderId="0" xfId="0" applyFill="1" applyBorder="1"/>
    <xf numFmtId="0" fontId="0" fillId="16" borderId="28" xfId="0" applyFill="1" applyBorder="1"/>
    <xf numFmtId="43" fontId="4" fillId="0" borderId="20" xfId="1" applyFont="1" applyFill="1" applyBorder="1" applyProtection="1">
      <protection hidden="1"/>
    </xf>
    <xf numFmtId="0" fontId="0" fillId="0" borderId="29" xfId="0" applyBorder="1"/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30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0" borderId="20" xfId="0" applyBorder="1"/>
    <xf numFmtId="0" fontId="0" fillId="0" borderId="32" xfId="0" applyBorder="1"/>
    <xf numFmtId="0" fontId="0" fillId="2" borderId="33" xfId="0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ompartidos\1%20-%20Stock%20MP-Produccion-Insumos\STOCK%20NEXA\Stock%20pisos%20Nexa%2028-09-2026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IFICACIO  EDU"/>
      <sheetName val="Hoja2"/>
      <sheetName val="Hoja4"/>
      <sheetName val="VERIFICADO"/>
      <sheetName val="Hoja27"/>
      <sheetName val="Hoja17"/>
      <sheetName val="Hoja16"/>
      <sheetName val="Hoja12"/>
      <sheetName val="Hoja6"/>
      <sheetName val="Hoja10"/>
      <sheetName val="Hoja11"/>
      <sheetName val="Hoja7"/>
      <sheetName val="Hoja8"/>
      <sheetName val="Hoja9"/>
      <sheetName val="Hoja14"/>
      <sheetName val="Hoja15"/>
      <sheetName val="Hoja13"/>
      <sheetName val="Hoja1"/>
      <sheetName val="Hoja5"/>
      <sheetName val="SALIDAS"/>
      <sheetName val="STOCK"/>
      <sheetName val="ENTRADA"/>
      <sheetName val="Hoja19"/>
      <sheetName val="Hoja20"/>
      <sheetName val="Hoja21"/>
      <sheetName val="Hoja22"/>
      <sheetName val="N° DE PARTIDA"/>
      <sheetName val="Hoja32"/>
      <sheetName val="Hoja31"/>
      <sheetName val="Hoja30"/>
      <sheetName val="Hoja29"/>
      <sheetName val="Hoja28"/>
      <sheetName val="Hoja33"/>
      <sheetName val="Hoja24"/>
      <sheetName val="Hoja25"/>
      <sheetName val="Hoja26"/>
      <sheetName val="listas"/>
      <sheetName val="Hoja23"/>
      <sheetName val="CLIENTES"/>
      <sheetName val="MP A Comprar "/>
      <sheetName val="Stock MP"/>
      <sheetName val="Hoja37"/>
      <sheetName val="Hoja35"/>
      <sheetName val="Hoja36"/>
      <sheetName val="Hoja34"/>
      <sheetName val="PISOS a inyectar"/>
      <sheetName val="SALIDAS a inyectar"/>
      <sheetName val="Hoja38"/>
      <sheetName val="Hoja18"/>
      <sheetName val="correcciones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D3">
            <v>25</v>
          </cell>
        </row>
        <row r="4">
          <cell r="D4">
            <v>19</v>
          </cell>
        </row>
        <row r="6">
          <cell r="D6">
            <v>25</v>
          </cell>
        </row>
        <row r="8">
          <cell r="D8">
            <v>23</v>
          </cell>
        </row>
        <row r="10">
          <cell r="D10">
            <v>14</v>
          </cell>
        </row>
        <row r="12">
          <cell r="D12">
            <v>3</v>
          </cell>
        </row>
        <row r="14">
          <cell r="D14">
            <v>3</v>
          </cell>
        </row>
        <row r="16">
          <cell r="D16">
            <v>20</v>
          </cell>
        </row>
        <row r="18">
          <cell r="D18">
            <v>40</v>
          </cell>
        </row>
        <row r="20">
          <cell r="D20">
            <v>16</v>
          </cell>
        </row>
        <row r="22">
          <cell r="D22">
            <v>25</v>
          </cell>
        </row>
        <row r="23">
          <cell r="D23">
            <v>25</v>
          </cell>
        </row>
        <row r="25">
          <cell r="D25">
            <v>25</v>
          </cell>
        </row>
        <row r="26">
          <cell r="D26">
            <v>25</v>
          </cell>
        </row>
        <row r="27">
          <cell r="D27">
            <v>25</v>
          </cell>
        </row>
        <row r="28">
          <cell r="D28">
            <v>25</v>
          </cell>
        </row>
        <row r="29">
          <cell r="D29">
            <v>25</v>
          </cell>
        </row>
        <row r="30">
          <cell r="D30">
            <v>25</v>
          </cell>
        </row>
        <row r="31">
          <cell r="D31">
            <v>25</v>
          </cell>
        </row>
        <row r="32">
          <cell r="D32">
            <v>25</v>
          </cell>
        </row>
        <row r="33">
          <cell r="D33">
            <v>20</v>
          </cell>
        </row>
        <row r="35">
          <cell r="D35">
            <v>10</v>
          </cell>
        </row>
        <row r="36">
          <cell r="D36">
            <v>10</v>
          </cell>
        </row>
        <row r="37">
          <cell r="D37">
            <v>10</v>
          </cell>
        </row>
        <row r="38">
          <cell r="D38">
            <v>10</v>
          </cell>
        </row>
        <row r="39">
          <cell r="D39">
            <v>10</v>
          </cell>
        </row>
        <row r="40">
          <cell r="D40">
            <v>10</v>
          </cell>
        </row>
        <row r="41">
          <cell r="D41">
            <v>10</v>
          </cell>
        </row>
        <row r="42">
          <cell r="D42">
            <v>10</v>
          </cell>
        </row>
        <row r="43">
          <cell r="D43">
            <v>10</v>
          </cell>
        </row>
        <row r="44">
          <cell r="D44">
            <v>10</v>
          </cell>
        </row>
        <row r="45">
          <cell r="D45">
            <v>10</v>
          </cell>
        </row>
        <row r="46">
          <cell r="D46">
            <v>10</v>
          </cell>
        </row>
        <row r="47">
          <cell r="D47">
            <v>10</v>
          </cell>
        </row>
        <row r="48">
          <cell r="D48">
            <v>10</v>
          </cell>
        </row>
        <row r="49">
          <cell r="D49">
            <v>10</v>
          </cell>
        </row>
        <row r="50">
          <cell r="D50">
            <v>10</v>
          </cell>
        </row>
        <row r="51">
          <cell r="D51">
            <v>10</v>
          </cell>
        </row>
        <row r="52">
          <cell r="D52">
            <v>10</v>
          </cell>
        </row>
        <row r="53">
          <cell r="D53">
            <v>10</v>
          </cell>
        </row>
        <row r="54">
          <cell r="D54">
            <v>10</v>
          </cell>
        </row>
        <row r="55">
          <cell r="D55">
            <v>10</v>
          </cell>
        </row>
        <row r="56">
          <cell r="D56">
            <v>10</v>
          </cell>
        </row>
        <row r="57">
          <cell r="D57">
            <v>10</v>
          </cell>
        </row>
        <row r="59">
          <cell r="D59">
            <v>25</v>
          </cell>
        </row>
        <row r="60">
          <cell r="D60">
            <v>25</v>
          </cell>
        </row>
        <row r="61">
          <cell r="D61">
            <v>25</v>
          </cell>
        </row>
        <row r="62">
          <cell r="D62">
            <v>25</v>
          </cell>
        </row>
        <row r="63">
          <cell r="D63">
            <v>25</v>
          </cell>
        </row>
        <row r="64">
          <cell r="D64">
            <v>25</v>
          </cell>
        </row>
        <row r="65">
          <cell r="D65">
            <v>6</v>
          </cell>
        </row>
        <row r="67">
          <cell r="D67">
            <v>25</v>
          </cell>
        </row>
        <row r="68">
          <cell r="D68">
            <v>25</v>
          </cell>
        </row>
        <row r="69">
          <cell r="D69">
            <v>25</v>
          </cell>
        </row>
        <row r="70">
          <cell r="D70">
            <v>25</v>
          </cell>
        </row>
        <row r="72">
          <cell r="D72">
            <v>4</v>
          </cell>
        </row>
        <row r="74">
          <cell r="D74">
            <v>25</v>
          </cell>
        </row>
        <row r="76">
          <cell r="D76">
            <v>6</v>
          </cell>
        </row>
        <row r="78">
          <cell r="D78">
            <v>20</v>
          </cell>
        </row>
        <row r="80">
          <cell r="D80">
            <v>25</v>
          </cell>
        </row>
        <row r="81">
          <cell r="D81">
            <v>5</v>
          </cell>
        </row>
        <row r="83">
          <cell r="D83">
            <v>13</v>
          </cell>
        </row>
        <row r="85">
          <cell r="D85">
            <v>25</v>
          </cell>
        </row>
        <row r="86">
          <cell r="D86">
            <v>7</v>
          </cell>
        </row>
        <row r="88">
          <cell r="D88">
            <v>14</v>
          </cell>
        </row>
        <row r="90">
          <cell r="D90">
            <v>25</v>
          </cell>
        </row>
        <row r="91">
          <cell r="D91">
            <v>7</v>
          </cell>
        </row>
        <row r="93">
          <cell r="D93">
            <v>25</v>
          </cell>
        </row>
        <row r="94">
          <cell r="D94">
            <v>25</v>
          </cell>
        </row>
        <row r="95">
          <cell r="D95">
            <v>25</v>
          </cell>
        </row>
        <row r="96">
          <cell r="D96">
            <v>25</v>
          </cell>
        </row>
        <row r="97">
          <cell r="D97">
            <v>25</v>
          </cell>
        </row>
        <row r="98">
          <cell r="D98">
            <v>25</v>
          </cell>
        </row>
        <row r="99">
          <cell r="D99">
            <v>25</v>
          </cell>
        </row>
        <row r="100">
          <cell r="D100">
            <v>20</v>
          </cell>
        </row>
        <row r="102">
          <cell r="D102">
            <v>25</v>
          </cell>
        </row>
        <row r="103">
          <cell r="D103">
            <v>17</v>
          </cell>
        </row>
        <row r="105">
          <cell r="D105">
            <v>16</v>
          </cell>
        </row>
        <row r="107">
          <cell r="D107">
            <v>25</v>
          </cell>
        </row>
        <row r="108">
          <cell r="D108">
            <v>21</v>
          </cell>
        </row>
        <row r="110">
          <cell r="D110">
            <v>23</v>
          </cell>
        </row>
        <row r="112">
          <cell r="D112">
            <v>10</v>
          </cell>
        </row>
        <row r="114">
          <cell r="D114">
            <v>25</v>
          </cell>
        </row>
        <row r="115">
          <cell r="D115">
            <v>25</v>
          </cell>
        </row>
        <row r="117">
          <cell r="D117">
            <v>25</v>
          </cell>
        </row>
        <row r="118">
          <cell r="D118">
            <v>25</v>
          </cell>
        </row>
        <row r="119">
          <cell r="D119">
            <v>25</v>
          </cell>
        </row>
        <row r="121">
          <cell r="D121">
            <v>25</v>
          </cell>
        </row>
        <row r="122">
          <cell r="D122">
            <v>25</v>
          </cell>
        </row>
        <row r="123">
          <cell r="D123">
            <v>25</v>
          </cell>
        </row>
        <row r="125">
          <cell r="D125">
            <v>25</v>
          </cell>
        </row>
        <row r="126">
          <cell r="D126">
            <v>25</v>
          </cell>
        </row>
        <row r="127">
          <cell r="D127">
            <v>25</v>
          </cell>
        </row>
        <row r="128">
          <cell r="D128">
            <v>2</v>
          </cell>
        </row>
        <row r="130">
          <cell r="D130">
            <v>25</v>
          </cell>
        </row>
        <row r="131">
          <cell r="D131">
            <v>25</v>
          </cell>
        </row>
        <row r="132">
          <cell r="D132">
            <v>25</v>
          </cell>
        </row>
        <row r="133">
          <cell r="D133">
            <v>25</v>
          </cell>
        </row>
        <row r="134">
          <cell r="D134">
            <v>25</v>
          </cell>
        </row>
        <row r="135">
          <cell r="D135">
            <v>25</v>
          </cell>
        </row>
        <row r="136">
          <cell r="D136">
            <v>25</v>
          </cell>
        </row>
        <row r="137">
          <cell r="D137">
            <v>5</v>
          </cell>
        </row>
        <row r="139">
          <cell r="D139">
            <v>25</v>
          </cell>
        </row>
        <row r="140">
          <cell r="D140">
            <v>25</v>
          </cell>
        </row>
        <row r="141">
          <cell r="D141">
            <v>25</v>
          </cell>
        </row>
        <row r="142">
          <cell r="D142">
            <v>25</v>
          </cell>
        </row>
        <row r="143">
          <cell r="D143">
            <v>10</v>
          </cell>
        </row>
        <row r="145">
          <cell r="D145">
            <v>25</v>
          </cell>
        </row>
        <row r="146">
          <cell r="D146">
            <v>25</v>
          </cell>
        </row>
        <row r="147">
          <cell r="D147">
            <v>25</v>
          </cell>
        </row>
        <row r="148">
          <cell r="D148">
            <v>5</v>
          </cell>
        </row>
        <row r="150">
          <cell r="D150">
            <v>8</v>
          </cell>
        </row>
        <row r="151">
          <cell r="D151">
            <v>8</v>
          </cell>
        </row>
        <row r="152">
          <cell r="D152">
            <v>8</v>
          </cell>
        </row>
        <row r="153">
          <cell r="D153">
            <v>8</v>
          </cell>
        </row>
        <row r="154">
          <cell r="D154">
            <v>4</v>
          </cell>
        </row>
        <row r="156">
          <cell r="D156">
            <v>120</v>
          </cell>
        </row>
        <row r="157">
          <cell r="D157">
            <v>120</v>
          </cell>
        </row>
        <row r="158">
          <cell r="D158">
            <v>46</v>
          </cell>
        </row>
        <row r="160">
          <cell r="D160">
            <v>6</v>
          </cell>
        </row>
        <row r="162">
          <cell r="D162">
            <v>25</v>
          </cell>
        </row>
        <row r="163">
          <cell r="D163">
            <v>25</v>
          </cell>
        </row>
        <row r="164">
          <cell r="D164">
            <v>25</v>
          </cell>
        </row>
        <row r="165">
          <cell r="D165">
            <v>25</v>
          </cell>
        </row>
        <row r="166">
          <cell r="D166">
            <v>25</v>
          </cell>
        </row>
        <row r="167">
          <cell r="D167">
            <v>25</v>
          </cell>
        </row>
        <row r="168">
          <cell r="D168">
            <v>25</v>
          </cell>
        </row>
        <row r="169">
          <cell r="D169">
            <v>24</v>
          </cell>
        </row>
        <row r="171">
          <cell r="D171">
            <v>25</v>
          </cell>
        </row>
        <row r="172">
          <cell r="D172">
            <v>25</v>
          </cell>
        </row>
        <row r="173">
          <cell r="D173">
            <v>8</v>
          </cell>
        </row>
        <row r="175">
          <cell r="D175">
            <v>12</v>
          </cell>
        </row>
        <row r="177">
          <cell r="D177">
            <v>25</v>
          </cell>
        </row>
        <row r="178">
          <cell r="D178">
            <v>25</v>
          </cell>
        </row>
        <row r="179">
          <cell r="D179">
            <v>25</v>
          </cell>
        </row>
        <row r="180">
          <cell r="D180">
            <v>25</v>
          </cell>
        </row>
        <row r="181">
          <cell r="D181">
            <v>1</v>
          </cell>
        </row>
        <row r="183">
          <cell r="D183">
            <v>25</v>
          </cell>
        </row>
        <row r="184">
          <cell r="D184">
            <v>19</v>
          </cell>
        </row>
        <row r="186">
          <cell r="D186">
            <v>25</v>
          </cell>
        </row>
        <row r="187">
          <cell r="D187">
            <v>25</v>
          </cell>
        </row>
        <row r="188">
          <cell r="D188">
            <v>25</v>
          </cell>
        </row>
        <row r="189">
          <cell r="D189">
            <v>25</v>
          </cell>
        </row>
        <row r="190">
          <cell r="D190">
            <v>25</v>
          </cell>
        </row>
        <row r="191">
          <cell r="D191">
            <v>19</v>
          </cell>
        </row>
        <row r="193">
          <cell r="D193">
            <v>10</v>
          </cell>
        </row>
        <row r="195">
          <cell r="D195">
            <v>25</v>
          </cell>
        </row>
        <row r="196">
          <cell r="D196">
            <v>25</v>
          </cell>
        </row>
        <row r="197">
          <cell r="D197">
            <v>25</v>
          </cell>
        </row>
        <row r="198">
          <cell r="D198">
            <v>25</v>
          </cell>
        </row>
        <row r="199">
          <cell r="D199">
            <v>25</v>
          </cell>
        </row>
        <row r="200">
          <cell r="D200">
            <v>25</v>
          </cell>
        </row>
        <row r="201">
          <cell r="D201">
            <v>25</v>
          </cell>
        </row>
        <row r="202">
          <cell r="D202">
            <v>7</v>
          </cell>
        </row>
        <row r="204">
          <cell r="D204">
            <v>55</v>
          </cell>
        </row>
        <row r="206">
          <cell r="D206">
            <v>2</v>
          </cell>
        </row>
        <row r="208">
          <cell r="D208">
            <v>4</v>
          </cell>
        </row>
        <row r="210">
          <cell r="D210">
            <v>12</v>
          </cell>
        </row>
        <row r="212">
          <cell r="D212">
            <v>26</v>
          </cell>
        </row>
        <row r="214">
          <cell r="D214">
            <v>15</v>
          </cell>
        </row>
        <row r="216">
          <cell r="D216">
            <v>25</v>
          </cell>
        </row>
        <row r="217">
          <cell r="D217">
            <v>25</v>
          </cell>
        </row>
        <row r="218">
          <cell r="D218">
            <v>25</v>
          </cell>
        </row>
        <row r="219">
          <cell r="D219">
            <v>25</v>
          </cell>
        </row>
        <row r="220">
          <cell r="D220">
            <v>21</v>
          </cell>
        </row>
        <row r="222">
          <cell r="D222">
            <v>8</v>
          </cell>
        </row>
        <row r="224">
          <cell r="D224">
            <v>8</v>
          </cell>
        </row>
        <row r="226">
          <cell r="D226">
            <v>25</v>
          </cell>
        </row>
        <row r="227">
          <cell r="D227">
            <v>25</v>
          </cell>
        </row>
        <row r="228">
          <cell r="D228">
            <v>25</v>
          </cell>
        </row>
        <row r="229">
          <cell r="D229">
            <v>25</v>
          </cell>
        </row>
        <row r="230">
          <cell r="D230">
            <v>25</v>
          </cell>
        </row>
        <row r="231">
          <cell r="D231">
            <v>7</v>
          </cell>
        </row>
        <row r="233">
          <cell r="D233">
            <v>25</v>
          </cell>
        </row>
        <row r="234">
          <cell r="D234">
            <v>11</v>
          </cell>
        </row>
        <row r="236">
          <cell r="D236">
            <v>25</v>
          </cell>
        </row>
        <row r="237">
          <cell r="D237">
            <v>25</v>
          </cell>
        </row>
        <row r="238">
          <cell r="D238">
            <v>25</v>
          </cell>
        </row>
        <row r="239">
          <cell r="D239">
            <v>19</v>
          </cell>
        </row>
        <row r="241">
          <cell r="D241">
            <v>10</v>
          </cell>
        </row>
        <row r="243">
          <cell r="D243">
            <v>25</v>
          </cell>
        </row>
        <row r="244">
          <cell r="D244">
            <v>25</v>
          </cell>
        </row>
        <row r="245">
          <cell r="D245">
            <v>25</v>
          </cell>
        </row>
        <row r="246">
          <cell r="D246">
            <v>25</v>
          </cell>
        </row>
        <row r="247">
          <cell r="D247">
            <v>25</v>
          </cell>
        </row>
        <row r="248">
          <cell r="D248">
            <v>25</v>
          </cell>
        </row>
        <row r="249">
          <cell r="D249">
            <v>25</v>
          </cell>
        </row>
        <row r="250">
          <cell r="D250">
            <v>25</v>
          </cell>
        </row>
        <row r="251">
          <cell r="D251">
            <v>25</v>
          </cell>
        </row>
        <row r="252">
          <cell r="D252">
            <v>25</v>
          </cell>
        </row>
        <row r="253">
          <cell r="D253">
            <v>25</v>
          </cell>
        </row>
        <row r="254">
          <cell r="D254">
            <v>25</v>
          </cell>
        </row>
        <row r="255">
          <cell r="D255">
            <v>25</v>
          </cell>
        </row>
        <row r="256">
          <cell r="D256">
            <v>25</v>
          </cell>
        </row>
        <row r="257">
          <cell r="D257">
            <v>25</v>
          </cell>
        </row>
        <row r="258">
          <cell r="D258">
            <v>25</v>
          </cell>
        </row>
        <row r="259">
          <cell r="D259">
            <v>25</v>
          </cell>
        </row>
        <row r="260">
          <cell r="D260">
            <v>25</v>
          </cell>
        </row>
        <row r="261">
          <cell r="D261">
            <v>25</v>
          </cell>
        </row>
        <row r="262">
          <cell r="D262">
            <v>25</v>
          </cell>
        </row>
        <row r="263">
          <cell r="D263">
            <v>25</v>
          </cell>
        </row>
        <row r="264">
          <cell r="D264">
            <v>25</v>
          </cell>
        </row>
        <row r="265">
          <cell r="D265">
            <v>25</v>
          </cell>
        </row>
        <row r="266">
          <cell r="D266">
            <v>25</v>
          </cell>
        </row>
        <row r="267">
          <cell r="D267">
            <v>25</v>
          </cell>
        </row>
        <row r="268">
          <cell r="D268">
            <v>25</v>
          </cell>
        </row>
        <row r="269">
          <cell r="D269">
            <v>25</v>
          </cell>
        </row>
        <row r="271">
          <cell r="D271">
            <v>40</v>
          </cell>
        </row>
        <row r="273">
          <cell r="D273">
            <v>25</v>
          </cell>
        </row>
        <row r="274">
          <cell r="D274">
            <v>25</v>
          </cell>
        </row>
        <row r="275">
          <cell r="D275">
            <v>25</v>
          </cell>
        </row>
        <row r="276">
          <cell r="D276">
            <v>25</v>
          </cell>
        </row>
        <row r="277">
          <cell r="D277">
            <v>25</v>
          </cell>
        </row>
        <row r="278">
          <cell r="D278">
            <v>25</v>
          </cell>
        </row>
        <row r="279">
          <cell r="D279">
            <v>25</v>
          </cell>
        </row>
        <row r="280">
          <cell r="D280">
            <v>25</v>
          </cell>
        </row>
        <row r="281">
          <cell r="D281">
            <v>25</v>
          </cell>
        </row>
        <row r="282">
          <cell r="D282">
            <v>25</v>
          </cell>
        </row>
        <row r="283">
          <cell r="D283">
            <v>25</v>
          </cell>
        </row>
        <row r="284">
          <cell r="D284">
            <v>25</v>
          </cell>
        </row>
        <row r="285">
          <cell r="D285">
            <v>2</v>
          </cell>
        </row>
        <row r="287">
          <cell r="D287">
            <v>25</v>
          </cell>
        </row>
        <row r="288">
          <cell r="D288">
            <v>25</v>
          </cell>
        </row>
        <row r="289">
          <cell r="D289">
            <v>25</v>
          </cell>
        </row>
        <row r="290">
          <cell r="D290">
            <v>25</v>
          </cell>
        </row>
        <row r="291">
          <cell r="D291">
            <v>25</v>
          </cell>
        </row>
        <row r="292">
          <cell r="D292">
            <v>25</v>
          </cell>
        </row>
        <row r="293">
          <cell r="D293">
            <v>25</v>
          </cell>
        </row>
        <row r="294">
          <cell r="D294">
            <v>25</v>
          </cell>
        </row>
        <row r="295">
          <cell r="D295">
            <v>25</v>
          </cell>
        </row>
        <row r="296">
          <cell r="D296">
            <v>23</v>
          </cell>
        </row>
        <row r="298">
          <cell r="D298">
            <v>25</v>
          </cell>
        </row>
        <row r="299">
          <cell r="D299">
            <v>25</v>
          </cell>
        </row>
        <row r="300">
          <cell r="D300">
            <v>25</v>
          </cell>
        </row>
        <row r="301">
          <cell r="D301">
            <v>25</v>
          </cell>
        </row>
        <row r="302">
          <cell r="D302">
            <v>13</v>
          </cell>
        </row>
        <row r="304">
          <cell r="D304">
            <v>60</v>
          </cell>
        </row>
        <row r="306">
          <cell r="D306">
            <v>25</v>
          </cell>
        </row>
        <row r="307">
          <cell r="D307">
            <v>25</v>
          </cell>
        </row>
        <row r="309">
          <cell r="D309">
            <v>25</v>
          </cell>
        </row>
        <row r="310">
          <cell r="D310">
            <v>25</v>
          </cell>
        </row>
        <row r="312">
          <cell r="D312">
            <v>11</v>
          </cell>
        </row>
        <row r="314">
          <cell r="D314">
            <v>25</v>
          </cell>
        </row>
        <row r="315">
          <cell r="D315">
            <v>7</v>
          </cell>
        </row>
        <row r="317">
          <cell r="D317">
            <v>25</v>
          </cell>
        </row>
        <row r="318">
          <cell r="D318">
            <v>25</v>
          </cell>
        </row>
        <row r="319">
          <cell r="D319">
            <v>25</v>
          </cell>
        </row>
        <row r="320">
          <cell r="D320">
            <v>13</v>
          </cell>
        </row>
        <row r="322">
          <cell r="D322">
            <v>25</v>
          </cell>
        </row>
        <row r="323">
          <cell r="D323">
            <v>25</v>
          </cell>
        </row>
        <row r="324">
          <cell r="D324">
            <v>25</v>
          </cell>
        </row>
        <row r="325">
          <cell r="D325">
            <v>13</v>
          </cell>
        </row>
        <row r="327">
          <cell r="D327">
            <v>11</v>
          </cell>
        </row>
        <row r="329">
          <cell r="D329">
            <v>100</v>
          </cell>
        </row>
        <row r="331">
          <cell r="D331">
            <v>25</v>
          </cell>
        </row>
        <row r="332">
          <cell r="D332">
            <v>25</v>
          </cell>
        </row>
        <row r="333">
          <cell r="D333">
            <v>25</v>
          </cell>
        </row>
        <row r="334">
          <cell r="D334">
            <v>25</v>
          </cell>
        </row>
        <row r="335">
          <cell r="D335">
            <v>21</v>
          </cell>
        </row>
        <row r="337">
          <cell r="D337">
            <v>25</v>
          </cell>
        </row>
        <row r="338">
          <cell r="D338">
            <v>25</v>
          </cell>
        </row>
        <row r="339">
          <cell r="D339">
            <v>25</v>
          </cell>
        </row>
        <row r="340">
          <cell r="D340">
            <v>25</v>
          </cell>
        </row>
        <row r="341">
          <cell r="D341">
            <v>25</v>
          </cell>
        </row>
        <row r="342">
          <cell r="D342">
            <v>25</v>
          </cell>
        </row>
        <row r="343">
          <cell r="D343">
            <v>25</v>
          </cell>
        </row>
        <row r="344">
          <cell r="D344">
            <v>25</v>
          </cell>
        </row>
        <row r="345">
          <cell r="D345">
            <v>25</v>
          </cell>
        </row>
        <row r="346">
          <cell r="D346">
            <v>25</v>
          </cell>
        </row>
        <row r="347">
          <cell r="D347">
            <v>25</v>
          </cell>
        </row>
        <row r="348">
          <cell r="D348">
            <v>25</v>
          </cell>
        </row>
        <row r="349">
          <cell r="D349">
            <v>25</v>
          </cell>
        </row>
        <row r="350">
          <cell r="D350">
            <v>25</v>
          </cell>
        </row>
        <row r="351">
          <cell r="D351">
            <v>25</v>
          </cell>
        </row>
        <row r="353">
          <cell r="D353">
            <v>25</v>
          </cell>
        </row>
        <row r="354">
          <cell r="D354">
            <v>25</v>
          </cell>
        </row>
        <row r="355">
          <cell r="D355">
            <v>25</v>
          </cell>
        </row>
        <row r="356">
          <cell r="D356">
            <v>25</v>
          </cell>
        </row>
        <row r="357">
          <cell r="D357">
            <v>25</v>
          </cell>
        </row>
        <row r="358">
          <cell r="D358">
            <v>25</v>
          </cell>
        </row>
        <row r="359">
          <cell r="D359">
            <v>25</v>
          </cell>
        </row>
        <row r="360">
          <cell r="D360">
            <v>25</v>
          </cell>
        </row>
        <row r="361">
          <cell r="D361">
            <v>25</v>
          </cell>
        </row>
        <row r="362">
          <cell r="D362">
            <v>25</v>
          </cell>
        </row>
        <row r="363">
          <cell r="D363">
            <v>25</v>
          </cell>
        </row>
        <row r="364">
          <cell r="D364">
            <v>25</v>
          </cell>
        </row>
        <row r="365">
          <cell r="D365">
            <v>25</v>
          </cell>
        </row>
        <row r="366">
          <cell r="D366">
            <v>25</v>
          </cell>
        </row>
        <row r="367">
          <cell r="D367">
            <v>25</v>
          </cell>
        </row>
        <row r="369">
          <cell r="D369">
            <v>33</v>
          </cell>
        </row>
        <row r="371">
          <cell r="D371">
            <v>25</v>
          </cell>
        </row>
        <row r="372">
          <cell r="D372">
            <v>25</v>
          </cell>
        </row>
        <row r="373">
          <cell r="D373">
            <v>25</v>
          </cell>
        </row>
        <row r="374">
          <cell r="D374">
            <v>25</v>
          </cell>
        </row>
        <row r="375">
          <cell r="D375">
            <v>25</v>
          </cell>
        </row>
        <row r="376">
          <cell r="D376">
            <v>25</v>
          </cell>
        </row>
        <row r="377">
          <cell r="D377">
            <v>25</v>
          </cell>
        </row>
        <row r="378">
          <cell r="D378">
            <v>25</v>
          </cell>
        </row>
        <row r="379">
          <cell r="D379">
            <v>25</v>
          </cell>
        </row>
        <row r="380">
          <cell r="D380">
            <v>25</v>
          </cell>
        </row>
        <row r="381">
          <cell r="D381">
            <v>25</v>
          </cell>
        </row>
        <row r="382">
          <cell r="D382">
            <v>25</v>
          </cell>
        </row>
        <row r="383">
          <cell r="D383">
            <v>13</v>
          </cell>
        </row>
        <row r="385">
          <cell r="D385">
            <v>50</v>
          </cell>
        </row>
        <row r="387">
          <cell r="D387">
            <v>25</v>
          </cell>
        </row>
        <row r="388">
          <cell r="D388">
            <v>25</v>
          </cell>
        </row>
        <row r="389">
          <cell r="D389">
            <v>25</v>
          </cell>
        </row>
        <row r="390">
          <cell r="D390">
            <v>25</v>
          </cell>
        </row>
        <row r="391">
          <cell r="D391">
            <v>4</v>
          </cell>
        </row>
        <row r="393">
          <cell r="D393">
            <v>25</v>
          </cell>
        </row>
        <row r="394">
          <cell r="D394">
            <v>13</v>
          </cell>
        </row>
        <row r="396">
          <cell r="D396">
            <v>25</v>
          </cell>
        </row>
        <row r="397">
          <cell r="D397">
            <v>8</v>
          </cell>
        </row>
        <row r="399">
          <cell r="D399">
            <v>16</v>
          </cell>
        </row>
        <row r="401">
          <cell r="D401">
            <v>25</v>
          </cell>
        </row>
        <row r="402">
          <cell r="D402">
            <v>25</v>
          </cell>
        </row>
        <row r="404">
          <cell r="D404">
            <v>7</v>
          </cell>
        </row>
        <row r="406">
          <cell r="D406">
            <v>6</v>
          </cell>
        </row>
        <row r="408">
          <cell r="D408">
            <v>1</v>
          </cell>
        </row>
        <row r="410">
          <cell r="D410">
            <v>10</v>
          </cell>
        </row>
        <row r="412">
          <cell r="D412">
            <v>25</v>
          </cell>
        </row>
        <row r="413">
          <cell r="D413">
            <v>25</v>
          </cell>
        </row>
        <row r="414">
          <cell r="D414">
            <v>25</v>
          </cell>
        </row>
        <row r="415">
          <cell r="D415">
            <v>25</v>
          </cell>
        </row>
        <row r="416">
          <cell r="D416">
            <v>25</v>
          </cell>
        </row>
        <row r="417">
          <cell r="D417">
            <v>25</v>
          </cell>
        </row>
        <row r="418">
          <cell r="D418">
            <v>25</v>
          </cell>
        </row>
        <row r="419">
          <cell r="D419">
            <v>25</v>
          </cell>
        </row>
        <row r="420">
          <cell r="D420">
            <v>20</v>
          </cell>
        </row>
        <row r="422">
          <cell r="D422">
            <v>20</v>
          </cell>
        </row>
        <row r="424">
          <cell r="D424">
            <v>10</v>
          </cell>
        </row>
        <row r="426">
          <cell r="D426">
            <v>30</v>
          </cell>
        </row>
        <row r="428">
          <cell r="D428">
            <v>10</v>
          </cell>
        </row>
        <row r="429">
          <cell r="D429">
            <v>10</v>
          </cell>
        </row>
        <row r="430">
          <cell r="D430">
            <v>10</v>
          </cell>
        </row>
        <row r="431">
          <cell r="D431">
            <v>10</v>
          </cell>
        </row>
        <row r="432">
          <cell r="D432">
            <v>10</v>
          </cell>
        </row>
        <row r="433">
          <cell r="D433">
            <v>10</v>
          </cell>
        </row>
        <row r="434">
          <cell r="D434">
            <v>10</v>
          </cell>
        </row>
        <row r="435">
          <cell r="D435">
            <v>10</v>
          </cell>
        </row>
        <row r="436">
          <cell r="D436">
            <v>10</v>
          </cell>
        </row>
        <row r="437">
          <cell r="D437">
            <v>10</v>
          </cell>
        </row>
        <row r="438">
          <cell r="D438">
            <v>10</v>
          </cell>
        </row>
        <row r="439">
          <cell r="D439">
            <v>10</v>
          </cell>
        </row>
        <row r="440">
          <cell r="D440">
            <v>10</v>
          </cell>
        </row>
        <row r="441">
          <cell r="D441">
            <v>10</v>
          </cell>
        </row>
        <row r="442">
          <cell r="D442">
            <v>10</v>
          </cell>
        </row>
        <row r="443">
          <cell r="D443">
            <v>10</v>
          </cell>
        </row>
        <row r="444">
          <cell r="D444">
            <v>10</v>
          </cell>
        </row>
        <row r="445">
          <cell r="D445">
            <v>10</v>
          </cell>
        </row>
        <row r="446">
          <cell r="D446">
            <v>10</v>
          </cell>
        </row>
        <row r="447">
          <cell r="D447">
            <v>10</v>
          </cell>
        </row>
        <row r="448">
          <cell r="D448">
            <v>10</v>
          </cell>
        </row>
        <row r="449">
          <cell r="D449">
            <v>10</v>
          </cell>
        </row>
        <row r="450">
          <cell r="D450">
            <v>10</v>
          </cell>
        </row>
        <row r="451">
          <cell r="D451">
            <v>10</v>
          </cell>
        </row>
        <row r="452">
          <cell r="D452">
            <v>10</v>
          </cell>
        </row>
        <row r="453">
          <cell r="D453">
            <v>10</v>
          </cell>
        </row>
        <row r="454">
          <cell r="D454">
            <v>10</v>
          </cell>
        </row>
        <row r="455">
          <cell r="D455">
            <v>10</v>
          </cell>
        </row>
        <row r="456">
          <cell r="D456">
            <v>10</v>
          </cell>
        </row>
        <row r="457">
          <cell r="D457">
            <v>10</v>
          </cell>
        </row>
        <row r="458">
          <cell r="D458">
            <v>10</v>
          </cell>
        </row>
        <row r="459">
          <cell r="D459">
            <v>10</v>
          </cell>
        </row>
        <row r="460">
          <cell r="D460">
            <v>10</v>
          </cell>
        </row>
        <row r="461">
          <cell r="D461">
            <v>10</v>
          </cell>
        </row>
        <row r="462">
          <cell r="D462">
            <v>10</v>
          </cell>
        </row>
        <row r="463">
          <cell r="D463">
            <v>10</v>
          </cell>
        </row>
        <row r="464">
          <cell r="D464">
            <v>10</v>
          </cell>
        </row>
        <row r="465">
          <cell r="D465">
            <v>10</v>
          </cell>
        </row>
        <row r="466">
          <cell r="D466">
            <v>10</v>
          </cell>
        </row>
        <row r="467">
          <cell r="D467">
            <v>10</v>
          </cell>
        </row>
        <row r="468">
          <cell r="D468">
            <v>10</v>
          </cell>
        </row>
        <row r="469">
          <cell r="D469">
            <v>10</v>
          </cell>
        </row>
        <row r="470">
          <cell r="D470">
            <v>10</v>
          </cell>
        </row>
        <row r="471">
          <cell r="D471">
            <v>10</v>
          </cell>
        </row>
        <row r="472">
          <cell r="D472">
            <v>10</v>
          </cell>
        </row>
        <row r="473">
          <cell r="D473">
            <v>10</v>
          </cell>
        </row>
        <row r="474">
          <cell r="D474">
            <v>10</v>
          </cell>
        </row>
        <row r="475">
          <cell r="D475">
            <v>10</v>
          </cell>
        </row>
        <row r="476">
          <cell r="D476">
            <v>10</v>
          </cell>
        </row>
        <row r="477">
          <cell r="D477">
            <v>10</v>
          </cell>
        </row>
        <row r="478">
          <cell r="D478">
            <v>10</v>
          </cell>
        </row>
        <row r="479">
          <cell r="D479">
            <v>10</v>
          </cell>
        </row>
        <row r="480">
          <cell r="D480">
            <v>10</v>
          </cell>
        </row>
        <row r="481">
          <cell r="D481">
            <v>10</v>
          </cell>
        </row>
        <row r="482">
          <cell r="D482">
            <v>10</v>
          </cell>
        </row>
        <row r="483">
          <cell r="D483">
            <v>10</v>
          </cell>
        </row>
        <row r="484">
          <cell r="D484">
            <v>10</v>
          </cell>
        </row>
        <row r="485">
          <cell r="D485">
            <v>10</v>
          </cell>
        </row>
        <row r="486">
          <cell r="D486">
            <v>10</v>
          </cell>
        </row>
        <row r="487">
          <cell r="D487">
            <v>10</v>
          </cell>
        </row>
        <row r="488">
          <cell r="D488">
            <v>10</v>
          </cell>
        </row>
        <row r="489">
          <cell r="D489">
            <v>10</v>
          </cell>
        </row>
        <row r="490">
          <cell r="D490">
            <v>10</v>
          </cell>
        </row>
        <row r="491">
          <cell r="D491">
            <v>10</v>
          </cell>
        </row>
        <row r="492">
          <cell r="D492">
            <v>10</v>
          </cell>
        </row>
        <row r="493">
          <cell r="D493">
            <v>10</v>
          </cell>
        </row>
        <row r="494">
          <cell r="D494">
            <v>10</v>
          </cell>
        </row>
        <row r="495">
          <cell r="D495">
            <v>10</v>
          </cell>
        </row>
        <row r="496">
          <cell r="D496">
            <v>10</v>
          </cell>
        </row>
        <row r="497">
          <cell r="D497">
            <v>10</v>
          </cell>
        </row>
        <row r="498">
          <cell r="D498">
            <v>10</v>
          </cell>
        </row>
        <row r="499">
          <cell r="D499">
            <v>10</v>
          </cell>
        </row>
        <row r="500">
          <cell r="D500">
            <v>10</v>
          </cell>
        </row>
        <row r="501">
          <cell r="D501">
            <v>10</v>
          </cell>
        </row>
        <row r="502">
          <cell r="D502">
            <v>10</v>
          </cell>
        </row>
        <row r="503">
          <cell r="D503">
            <v>10</v>
          </cell>
        </row>
        <row r="504">
          <cell r="D504">
            <v>10</v>
          </cell>
        </row>
        <row r="505">
          <cell r="D505">
            <v>10</v>
          </cell>
        </row>
        <row r="506">
          <cell r="D506">
            <v>10</v>
          </cell>
        </row>
        <row r="507">
          <cell r="D507">
            <v>10</v>
          </cell>
        </row>
        <row r="508">
          <cell r="D508">
            <v>10</v>
          </cell>
        </row>
        <row r="509">
          <cell r="D509">
            <v>10</v>
          </cell>
        </row>
        <row r="510">
          <cell r="D510">
            <v>10</v>
          </cell>
        </row>
        <row r="511">
          <cell r="D511">
            <v>10</v>
          </cell>
        </row>
        <row r="512">
          <cell r="D512">
            <v>10</v>
          </cell>
        </row>
        <row r="513">
          <cell r="D513">
            <v>10</v>
          </cell>
        </row>
        <row r="514">
          <cell r="D514">
            <v>10</v>
          </cell>
        </row>
        <row r="515">
          <cell r="D515">
            <v>10</v>
          </cell>
        </row>
        <row r="516">
          <cell r="D516">
            <v>10</v>
          </cell>
        </row>
        <row r="517">
          <cell r="D517">
            <v>10</v>
          </cell>
        </row>
        <row r="518">
          <cell r="D518">
            <v>10</v>
          </cell>
        </row>
        <row r="519">
          <cell r="D519">
            <v>10</v>
          </cell>
        </row>
        <row r="520">
          <cell r="D520">
            <v>10</v>
          </cell>
        </row>
        <row r="521">
          <cell r="D521">
            <v>10</v>
          </cell>
        </row>
        <row r="522">
          <cell r="D522">
            <v>10</v>
          </cell>
        </row>
        <row r="523">
          <cell r="D523">
            <v>10</v>
          </cell>
        </row>
        <row r="524">
          <cell r="D524">
            <v>10</v>
          </cell>
        </row>
        <row r="525">
          <cell r="D525">
            <v>10</v>
          </cell>
        </row>
        <row r="526">
          <cell r="D526">
            <v>10</v>
          </cell>
        </row>
        <row r="527">
          <cell r="D527">
            <v>10</v>
          </cell>
        </row>
        <row r="528">
          <cell r="D528">
            <v>10</v>
          </cell>
        </row>
        <row r="529">
          <cell r="D529">
            <v>10</v>
          </cell>
        </row>
        <row r="530">
          <cell r="D530">
            <v>10</v>
          </cell>
        </row>
        <row r="531">
          <cell r="D531">
            <v>10</v>
          </cell>
        </row>
        <row r="532">
          <cell r="D532">
            <v>10</v>
          </cell>
        </row>
        <row r="533">
          <cell r="D533">
            <v>10</v>
          </cell>
        </row>
        <row r="534">
          <cell r="D534">
            <v>10</v>
          </cell>
        </row>
        <row r="535">
          <cell r="D535">
            <v>10</v>
          </cell>
        </row>
        <row r="536">
          <cell r="D536">
            <v>10</v>
          </cell>
        </row>
        <row r="537">
          <cell r="D537">
            <v>10</v>
          </cell>
        </row>
        <row r="538">
          <cell r="D538">
            <v>10</v>
          </cell>
        </row>
        <row r="539">
          <cell r="D539">
            <v>10</v>
          </cell>
        </row>
        <row r="540">
          <cell r="D540">
            <v>10</v>
          </cell>
        </row>
        <row r="541">
          <cell r="D541">
            <v>10</v>
          </cell>
        </row>
        <row r="542">
          <cell r="D542">
            <v>10</v>
          </cell>
        </row>
        <row r="543">
          <cell r="D543">
            <v>10</v>
          </cell>
        </row>
        <row r="544">
          <cell r="D544">
            <v>10</v>
          </cell>
        </row>
        <row r="545">
          <cell r="D545">
            <v>10</v>
          </cell>
        </row>
        <row r="546">
          <cell r="D546">
            <v>10</v>
          </cell>
        </row>
        <row r="547">
          <cell r="D547">
            <v>10</v>
          </cell>
        </row>
        <row r="548">
          <cell r="D548">
            <v>10</v>
          </cell>
        </row>
        <row r="549">
          <cell r="D549">
            <v>10</v>
          </cell>
        </row>
        <row r="550">
          <cell r="D550">
            <v>10</v>
          </cell>
        </row>
        <row r="551">
          <cell r="D551">
            <v>10</v>
          </cell>
        </row>
        <row r="552">
          <cell r="D552">
            <v>10</v>
          </cell>
        </row>
        <row r="553">
          <cell r="D553">
            <v>10</v>
          </cell>
        </row>
        <row r="554">
          <cell r="D554">
            <v>10</v>
          </cell>
        </row>
        <row r="555">
          <cell r="D555">
            <v>10</v>
          </cell>
        </row>
        <row r="556">
          <cell r="D556">
            <v>10</v>
          </cell>
        </row>
        <row r="557">
          <cell r="D557">
            <v>10</v>
          </cell>
        </row>
        <row r="558">
          <cell r="D558">
            <v>10</v>
          </cell>
        </row>
        <row r="559">
          <cell r="D559">
            <v>10</v>
          </cell>
        </row>
        <row r="560">
          <cell r="D560">
            <v>10</v>
          </cell>
        </row>
        <row r="561">
          <cell r="D561">
            <v>10</v>
          </cell>
        </row>
        <row r="562">
          <cell r="D562">
            <v>10</v>
          </cell>
        </row>
        <row r="563">
          <cell r="D563">
            <v>10</v>
          </cell>
        </row>
        <row r="564">
          <cell r="D564">
            <v>10</v>
          </cell>
        </row>
        <row r="565">
          <cell r="D565">
            <v>10</v>
          </cell>
        </row>
        <row r="566">
          <cell r="D566">
            <v>10</v>
          </cell>
        </row>
        <row r="567">
          <cell r="D567">
            <v>10</v>
          </cell>
        </row>
        <row r="568">
          <cell r="D568">
            <v>10</v>
          </cell>
        </row>
        <row r="569">
          <cell r="D569">
            <v>10</v>
          </cell>
        </row>
        <row r="570">
          <cell r="D570">
            <v>10</v>
          </cell>
        </row>
        <row r="571">
          <cell r="D571">
            <v>10</v>
          </cell>
        </row>
        <row r="572">
          <cell r="D572">
            <v>10</v>
          </cell>
        </row>
        <row r="573">
          <cell r="D573">
            <v>10</v>
          </cell>
        </row>
        <row r="574">
          <cell r="D574">
            <v>10</v>
          </cell>
        </row>
        <row r="575">
          <cell r="D575">
            <v>10</v>
          </cell>
        </row>
        <row r="576">
          <cell r="D576">
            <v>10</v>
          </cell>
        </row>
        <row r="577">
          <cell r="D577">
            <v>10</v>
          </cell>
        </row>
        <row r="578">
          <cell r="D578">
            <v>10</v>
          </cell>
        </row>
        <row r="579">
          <cell r="D579">
            <v>10</v>
          </cell>
        </row>
        <row r="580">
          <cell r="D580">
            <v>10</v>
          </cell>
        </row>
        <row r="581">
          <cell r="D581">
            <v>10</v>
          </cell>
        </row>
        <row r="582">
          <cell r="D582">
            <v>10</v>
          </cell>
        </row>
        <row r="583">
          <cell r="D583">
            <v>10</v>
          </cell>
        </row>
        <row r="584">
          <cell r="D584">
            <v>10</v>
          </cell>
        </row>
        <row r="585">
          <cell r="D585">
            <v>10</v>
          </cell>
        </row>
        <row r="586">
          <cell r="D586">
            <v>10</v>
          </cell>
        </row>
        <row r="587">
          <cell r="D587">
            <v>10</v>
          </cell>
        </row>
        <row r="588">
          <cell r="D588">
            <v>10</v>
          </cell>
        </row>
        <row r="589">
          <cell r="D589">
            <v>10</v>
          </cell>
        </row>
        <row r="590">
          <cell r="D590">
            <v>10</v>
          </cell>
        </row>
        <row r="592">
          <cell r="D592">
            <v>25</v>
          </cell>
        </row>
        <row r="594">
          <cell r="D594">
            <v>3</v>
          </cell>
        </row>
        <row r="596">
          <cell r="D596">
            <v>25</v>
          </cell>
        </row>
        <row r="597">
          <cell r="D597">
            <v>25</v>
          </cell>
        </row>
        <row r="598">
          <cell r="D598">
            <v>25</v>
          </cell>
        </row>
        <row r="599">
          <cell r="D599">
            <v>25</v>
          </cell>
        </row>
        <row r="600">
          <cell r="D600">
            <v>25</v>
          </cell>
        </row>
        <row r="601">
          <cell r="D601">
            <v>25</v>
          </cell>
        </row>
        <row r="602">
          <cell r="D602">
            <v>25</v>
          </cell>
        </row>
        <row r="603">
          <cell r="D603">
            <v>25</v>
          </cell>
        </row>
        <row r="605">
          <cell r="D605">
            <v>2</v>
          </cell>
        </row>
        <row r="607">
          <cell r="D607">
            <v>10</v>
          </cell>
        </row>
        <row r="609">
          <cell r="D609">
            <v>2</v>
          </cell>
        </row>
        <row r="611">
          <cell r="D611">
            <v>19</v>
          </cell>
        </row>
        <row r="613">
          <cell r="D613">
            <v>25</v>
          </cell>
        </row>
        <row r="614">
          <cell r="D614">
            <v>25</v>
          </cell>
        </row>
        <row r="615">
          <cell r="D615">
            <v>22</v>
          </cell>
        </row>
        <row r="617">
          <cell r="D617">
            <v>25</v>
          </cell>
        </row>
        <row r="618">
          <cell r="D618">
            <v>25</v>
          </cell>
        </row>
        <row r="619">
          <cell r="D619">
            <v>25</v>
          </cell>
        </row>
        <row r="620">
          <cell r="D620">
            <v>25</v>
          </cell>
        </row>
        <row r="621">
          <cell r="D621">
            <v>25</v>
          </cell>
        </row>
        <row r="622">
          <cell r="D622">
            <v>25</v>
          </cell>
        </row>
        <row r="623">
          <cell r="D623">
            <v>25</v>
          </cell>
        </row>
        <row r="624">
          <cell r="D624">
            <v>25</v>
          </cell>
        </row>
        <row r="625">
          <cell r="D625">
            <v>25</v>
          </cell>
        </row>
        <row r="626">
          <cell r="D626">
            <v>25</v>
          </cell>
        </row>
        <row r="627">
          <cell r="D627">
            <v>25</v>
          </cell>
        </row>
        <row r="628">
          <cell r="D628">
            <v>25</v>
          </cell>
        </row>
        <row r="629">
          <cell r="D629">
            <v>25</v>
          </cell>
        </row>
        <row r="630">
          <cell r="D630">
            <v>25</v>
          </cell>
        </row>
        <row r="631">
          <cell r="D631">
            <v>25</v>
          </cell>
        </row>
        <row r="633">
          <cell r="D633">
            <v>25</v>
          </cell>
        </row>
        <row r="634">
          <cell r="D634">
            <v>13</v>
          </cell>
        </row>
        <row r="636">
          <cell r="D636">
            <v>3</v>
          </cell>
        </row>
        <row r="638">
          <cell r="D638">
            <v>25</v>
          </cell>
        </row>
        <row r="639">
          <cell r="D639">
            <v>25</v>
          </cell>
        </row>
        <row r="640">
          <cell r="D640">
            <v>25</v>
          </cell>
        </row>
        <row r="641">
          <cell r="D641">
            <v>25</v>
          </cell>
        </row>
        <row r="642">
          <cell r="D642">
            <v>25</v>
          </cell>
        </row>
        <row r="643">
          <cell r="D643">
            <v>25</v>
          </cell>
        </row>
        <row r="644">
          <cell r="D644">
            <v>25</v>
          </cell>
        </row>
        <row r="645">
          <cell r="D645">
            <v>25</v>
          </cell>
        </row>
        <row r="647">
          <cell r="D647">
            <v>15</v>
          </cell>
        </row>
      </sheetData>
      <sheetData sheetId="20"/>
      <sheetData sheetId="21">
        <row r="3">
          <cell r="D3">
            <v>44</v>
          </cell>
        </row>
        <row r="5">
          <cell r="D5">
            <v>25</v>
          </cell>
        </row>
        <row r="6">
          <cell r="D6">
            <v>25</v>
          </cell>
        </row>
        <row r="7">
          <cell r="D7">
            <v>25</v>
          </cell>
        </row>
        <row r="8">
          <cell r="D8">
            <v>25</v>
          </cell>
        </row>
        <row r="9">
          <cell r="D9">
            <v>25</v>
          </cell>
        </row>
        <row r="10">
          <cell r="D10">
            <v>25</v>
          </cell>
        </row>
        <row r="11">
          <cell r="D11">
            <v>25</v>
          </cell>
        </row>
        <row r="12">
          <cell r="D12">
            <v>7</v>
          </cell>
        </row>
        <row r="14">
          <cell r="D14">
            <v>25</v>
          </cell>
        </row>
        <row r="15">
          <cell r="D15">
            <v>25</v>
          </cell>
        </row>
        <row r="16">
          <cell r="D16">
            <v>14</v>
          </cell>
        </row>
        <row r="18">
          <cell r="D18">
            <v>25</v>
          </cell>
        </row>
        <row r="19">
          <cell r="D19">
            <v>25</v>
          </cell>
        </row>
        <row r="20">
          <cell r="D20">
            <v>25</v>
          </cell>
        </row>
        <row r="22">
          <cell r="D22">
            <v>25</v>
          </cell>
        </row>
        <row r="23">
          <cell r="D23">
            <v>25</v>
          </cell>
        </row>
        <row r="24">
          <cell r="D24">
            <v>17</v>
          </cell>
        </row>
        <row r="26">
          <cell r="D26">
            <v>25</v>
          </cell>
        </row>
        <row r="27">
          <cell r="D27">
            <v>25</v>
          </cell>
        </row>
        <row r="28">
          <cell r="D28">
            <v>18</v>
          </cell>
        </row>
        <row r="30">
          <cell r="D30">
            <v>25</v>
          </cell>
        </row>
        <row r="31">
          <cell r="D31">
            <v>25</v>
          </cell>
        </row>
        <row r="32">
          <cell r="D32">
            <v>25</v>
          </cell>
        </row>
        <row r="34">
          <cell r="D34">
            <v>25</v>
          </cell>
        </row>
        <row r="35">
          <cell r="D35">
            <v>25</v>
          </cell>
        </row>
        <row r="37">
          <cell r="D37">
            <v>25</v>
          </cell>
        </row>
        <row r="38">
          <cell r="D38">
            <v>25</v>
          </cell>
        </row>
        <row r="39">
          <cell r="D39">
            <v>25</v>
          </cell>
        </row>
        <row r="40">
          <cell r="D40">
            <v>4</v>
          </cell>
        </row>
        <row r="42">
          <cell r="D42">
            <v>3</v>
          </cell>
        </row>
        <row r="44">
          <cell r="D44">
            <v>230</v>
          </cell>
        </row>
        <row r="46">
          <cell r="D46">
            <v>156</v>
          </cell>
        </row>
        <row r="48">
          <cell r="D48">
            <v>100</v>
          </cell>
        </row>
        <row r="50">
          <cell r="D50">
            <v>42</v>
          </cell>
        </row>
        <row r="52">
          <cell r="D52">
            <v>25</v>
          </cell>
        </row>
        <row r="53">
          <cell r="D53">
            <v>25</v>
          </cell>
        </row>
        <row r="55">
          <cell r="D55">
            <v>168</v>
          </cell>
        </row>
        <row r="57">
          <cell r="D57">
            <v>131</v>
          </cell>
        </row>
        <row r="59">
          <cell r="D59">
            <v>164</v>
          </cell>
        </row>
        <row r="61">
          <cell r="D61">
            <v>166</v>
          </cell>
        </row>
        <row r="63">
          <cell r="D63">
            <v>75</v>
          </cell>
        </row>
        <row r="65">
          <cell r="D65">
            <v>75</v>
          </cell>
        </row>
        <row r="67">
          <cell r="D67">
            <v>77</v>
          </cell>
        </row>
        <row r="69">
          <cell r="D69">
            <v>180</v>
          </cell>
        </row>
        <row r="71">
          <cell r="D71">
            <v>110</v>
          </cell>
        </row>
        <row r="73">
          <cell r="D73">
            <v>250</v>
          </cell>
        </row>
        <row r="75">
          <cell r="D75">
            <v>199</v>
          </cell>
        </row>
        <row r="77">
          <cell r="D77">
            <v>103</v>
          </cell>
        </row>
        <row r="79">
          <cell r="D79">
            <v>144</v>
          </cell>
        </row>
        <row r="81">
          <cell r="D81">
            <v>181</v>
          </cell>
        </row>
        <row r="83">
          <cell r="D83">
            <v>10</v>
          </cell>
        </row>
        <row r="85">
          <cell r="D85">
            <v>3</v>
          </cell>
        </row>
        <row r="87">
          <cell r="D87">
            <v>132</v>
          </cell>
        </row>
        <row r="89">
          <cell r="D89">
            <v>36</v>
          </cell>
        </row>
        <row r="91">
          <cell r="D91">
            <v>94</v>
          </cell>
        </row>
        <row r="93">
          <cell r="D93">
            <v>300</v>
          </cell>
        </row>
        <row r="95">
          <cell r="D95">
            <v>103</v>
          </cell>
        </row>
        <row r="97">
          <cell r="D97">
            <v>64</v>
          </cell>
        </row>
        <row r="99">
          <cell r="D99">
            <v>675</v>
          </cell>
        </row>
        <row r="101">
          <cell r="D101">
            <v>302</v>
          </cell>
        </row>
        <row r="103">
          <cell r="D103">
            <v>248</v>
          </cell>
        </row>
        <row r="105">
          <cell r="D105">
            <v>88</v>
          </cell>
        </row>
        <row r="107">
          <cell r="D107">
            <v>88</v>
          </cell>
        </row>
        <row r="109">
          <cell r="D109">
            <v>106</v>
          </cell>
        </row>
        <row r="111">
          <cell r="D111">
            <v>75</v>
          </cell>
        </row>
        <row r="113">
          <cell r="D113">
            <v>188</v>
          </cell>
        </row>
        <row r="115">
          <cell r="D115">
            <v>156</v>
          </cell>
        </row>
        <row r="117">
          <cell r="D117">
            <v>166</v>
          </cell>
        </row>
        <row r="119">
          <cell r="D119">
            <v>86</v>
          </cell>
        </row>
        <row r="121">
          <cell r="D121">
            <v>103</v>
          </cell>
        </row>
        <row r="123">
          <cell r="D123">
            <v>375</v>
          </cell>
        </row>
        <row r="125">
          <cell r="D125">
            <v>123</v>
          </cell>
        </row>
        <row r="127">
          <cell r="D127">
            <v>100</v>
          </cell>
        </row>
        <row r="129">
          <cell r="D129">
            <v>163</v>
          </cell>
        </row>
        <row r="131">
          <cell r="D131">
            <v>375</v>
          </cell>
        </row>
        <row r="133">
          <cell r="D133">
            <v>313</v>
          </cell>
        </row>
        <row r="135">
          <cell r="D135">
            <v>104</v>
          </cell>
        </row>
        <row r="137">
          <cell r="D137">
            <v>33</v>
          </cell>
        </row>
        <row r="139">
          <cell r="D139">
            <v>172</v>
          </cell>
        </row>
        <row r="141">
          <cell r="D141">
            <v>1625</v>
          </cell>
        </row>
        <row r="143">
          <cell r="D143">
            <v>25</v>
          </cell>
        </row>
        <row r="145">
          <cell r="D145">
            <v>162</v>
          </cell>
        </row>
        <row r="147">
          <cell r="D147">
            <v>550</v>
          </cell>
        </row>
        <row r="149">
          <cell r="D149">
            <v>28</v>
          </cell>
        </row>
        <row r="151">
          <cell r="D151">
            <v>612</v>
          </cell>
        </row>
        <row r="153">
          <cell r="D153">
            <v>72</v>
          </cell>
        </row>
        <row r="155">
          <cell r="D155">
            <v>415</v>
          </cell>
        </row>
        <row r="157">
          <cell r="D157">
            <v>80</v>
          </cell>
        </row>
        <row r="159">
          <cell r="D159">
            <v>5</v>
          </cell>
        </row>
        <row r="161">
          <cell r="D161">
            <v>18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8"/>
  <sheetViews>
    <sheetView workbookViewId="0">
      <selection activeCell="E25" sqref="E25"/>
    </sheetView>
  </sheetViews>
  <sheetFormatPr baseColWidth="10" defaultColWidth="9.140625" defaultRowHeight="15" x14ac:dyDescent="0.25"/>
  <cols>
    <col min="2" max="2" width="26.7109375" customWidth="1"/>
    <col min="3" max="3" width="35.140625" customWidth="1"/>
    <col min="4" max="4" width="55.85546875" customWidth="1"/>
    <col min="5" max="5" width="24.5703125" customWidth="1"/>
    <col min="6" max="6" width="43" customWidth="1"/>
  </cols>
  <sheetData>
    <row r="3" spans="2:6" ht="15.75" thickBot="1" x14ac:dyDescent="0.3">
      <c r="E3" s="2"/>
    </row>
    <row r="4" spans="2:6" ht="15.75" thickBot="1" x14ac:dyDescent="0.3">
      <c r="B4" s="143" t="s">
        <v>284</v>
      </c>
      <c r="C4" s="125"/>
      <c r="D4" s="126"/>
      <c r="E4" s="143" t="s">
        <v>283</v>
      </c>
      <c r="F4" s="126"/>
    </row>
    <row r="5" spans="2:6" ht="15.75" thickBot="1" x14ac:dyDescent="0.3">
      <c r="B5" s="3" t="s">
        <v>285</v>
      </c>
      <c r="C5" s="4" t="s">
        <v>286</v>
      </c>
      <c r="D5" s="142" t="s">
        <v>91</v>
      </c>
      <c r="E5" s="3" t="s">
        <v>287</v>
      </c>
      <c r="F5" s="4" t="s">
        <v>288</v>
      </c>
    </row>
    <row r="6" spans="2:6" ht="15.75" x14ac:dyDescent="0.25">
      <c r="B6" s="139" t="s">
        <v>99</v>
      </c>
      <c r="C6" s="140" t="s">
        <v>12</v>
      </c>
      <c r="D6" s="141" t="s">
        <v>0</v>
      </c>
      <c r="E6" s="5" t="s">
        <v>1</v>
      </c>
      <c r="F6" s="6" t="s">
        <v>31</v>
      </c>
    </row>
    <row r="7" spans="2:6" ht="15.75" x14ac:dyDescent="0.25">
      <c r="B7" s="30" t="s">
        <v>100</v>
      </c>
      <c r="C7" s="76" t="s">
        <v>277</v>
      </c>
      <c r="D7" s="127"/>
      <c r="E7" s="1" t="s">
        <v>1</v>
      </c>
      <c r="F7" s="7" t="s">
        <v>25</v>
      </c>
    </row>
    <row r="8" spans="2:6" ht="31.5" x14ac:dyDescent="0.25">
      <c r="B8" s="30" t="s">
        <v>101</v>
      </c>
      <c r="C8" s="76" t="s">
        <v>278</v>
      </c>
      <c r="D8" s="128"/>
      <c r="E8" s="1" t="s">
        <v>1</v>
      </c>
      <c r="F8" s="7" t="s">
        <v>30</v>
      </c>
    </row>
    <row r="9" spans="2:6" ht="15.75" x14ac:dyDescent="0.25">
      <c r="B9" s="30" t="s">
        <v>102</v>
      </c>
      <c r="C9" s="76" t="s">
        <v>13</v>
      </c>
      <c r="D9" s="129"/>
      <c r="E9" s="1" t="s">
        <v>2</v>
      </c>
      <c r="F9" s="8" t="s">
        <v>29</v>
      </c>
    </row>
    <row r="10" spans="2:6" ht="15.75" x14ac:dyDescent="0.25">
      <c r="B10" s="30" t="s">
        <v>289</v>
      </c>
      <c r="C10" s="76" t="s">
        <v>279</v>
      </c>
      <c r="D10" s="130"/>
      <c r="E10" s="1" t="s">
        <v>1</v>
      </c>
      <c r="F10" s="8" t="s">
        <v>28</v>
      </c>
    </row>
    <row r="11" spans="2:6" ht="15.75" x14ac:dyDescent="0.25">
      <c r="B11" s="30" t="s">
        <v>104</v>
      </c>
      <c r="C11" s="76" t="s">
        <v>14</v>
      </c>
      <c r="D11" s="131"/>
      <c r="E11" s="1" t="s">
        <v>1</v>
      </c>
      <c r="F11" s="8" t="s">
        <v>3</v>
      </c>
    </row>
    <row r="12" spans="2:6" ht="15.75" x14ac:dyDescent="0.25">
      <c r="B12" s="30" t="s">
        <v>105</v>
      </c>
      <c r="C12" s="76" t="s">
        <v>280</v>
      </c>
      <c r="D12" s="132"/>
      <c r="E12" s="1" t="s">
        <v>2</v>
      </c>
      <c r="F12" s="8" t="s">
        <v>4</v>
      </c>
    </row>
    <row r="13" spans="2:6" ht="15.75" x14ac:dyDescent="0.25">
      <c r="B13" s="30" t="s">
        <v>106</v>
      </c>
      <c r="C13" s="76" t="s">
        <v>15</v>
      </c>
      <c r="D13" s="133"/>
      <c r="E13" s="1" t="s">
        <v>2</v>
      </c>
      <c r="F13" s="9" t="s">
        <v>26</v>
      </c>
    </row>
    <row r="14" spans="2:6" ht="15.75" x14ac:dyDescent="0.25">
      <c r="B14" s="30" t="s">
        <v>107</v>
      </c>
      <c r="C14" s="76" t="s">
        <v>281</v>
      </c>
      <c r="D14" s="134"/>
      <c r="E14" s="1" t="s">
        <v>5</v>
      </c>
      <c r="F14" s="8" t="s">
        <v>6</v>
      </c>
    </row>
    <row r="15" spans="2:6" ht="15.75" x14ac:dyDescent="0.25">
      <c r="B15" s="30" t="s">
        <v>108</v>
      </c>
      <c r="C15" s="76" t="s">
        <v>282</v>
      </c>
      <c r="D15" s="135"/>
      <c r="E15" s="1" t="s">
        <v>7</v>
      </c>
      <c r="F15" s="8" t="s">
        <v>8</v>
      </c>
    </row>
    <row r="16" spans="2:6" ht="15.75" x14ac:dyDescent="0.25">
      <c r="B16" s="30" t="s">
        <v>109</v>
      </c>
      <c r="C16" s="76" t="s">
        <v>16</v>
      </c>
      <c r="D16" s="136"/>
      <c r="E16" s="1" t="s">
        <v>1</v>
      </c>
      <c r="F16" s="8" t="s">
        <v>9</v>
      </c>
    </row>
    <row r="17" spans="2:6" ht="15.75" x14ac:dyDescent="0.25">
      <c r="B17" s="30" t="s">
        <v>110</v>
      </c>
      <c r="C17" s="76" t="s">
        <v>17</v>
      </c>
      <c r="D17" s="137"/>
      <c r="E17" s="1" t="s">
        <v>10</v>
      </c>
      <c r="F17" s="8" t="s">
        <v>11</v>
      </c>
    </row>
    <row r="18" spans="2:6" ht="16.5" thickBot="1" x14ac:dyDescent="0.3">
      <c r="B18" s="95" t="s">
        <v>111</v>
      </c>
      <c r="C18" s="96" t="s">
        <v>18</v>
      </c>
      <c r="D18" s="138"/>
      <c r="E18" s="10" t="s">
        <v>2</v>
      </c>
      <c r="F18" s="11" t="s">
        <v>27</v>
      </c>
    </row>
  </sheetData>
  <mergeCells count="2">
    <mergeCell ref="B4:D4"/>
    <mergeCell ref="E4:F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"/>
  <sheetViews>
    <sheetView tabSelected="1" topLeftCell="A49" workbookViewId="0">
      <selection activeCell="B21" sqref="B21"/>
    </sheetView>
  </sheetViews>
  <sheetFormatPr baseColWidth="10" defaultRowHeight="15" x14ac:dyDescent="0.25"/>
  <cols>
    <col min="2" max="2" width="59.140625" customWidth="1"/>
  </cols>
  <sheetData>
    <row r="1" spans="2:12" ht="18.75" x14ac:dyDescent="0.3">
      <c r="B1" s="65" t="s">
        <v>86</v>
      </c>
      <c r="C1" s="66"/>
      <c r="D1" s="66"/>
      <c r="E1" s="66"/>
      <c r="F1" t="s">
        <v>87</v>
      </c>
    </row>
    <row r="2" spans="2:12" ht="15.75" thickBot="1" x14ac:dyDescent="0.3"/>
    <row r="3" spans="2:12" ht="45.75" thickBot="1" x14ac:dyDescent="0.3">
      <c r="B3" s="64" t="s">
        <v>32</v>
      </c>
      <c r="C3" s="52" t="s">
        <v>33</v>
      </c>
      <c r="D3" s="45" t="s">
        <v>34</v>
      </c>
      <c r="E3" s="45" t="s">
        <v>35</v>
      </c>
      <c r="F3" s="45" t="s">
        <v>36</v>
      </c>
      <c r="G3" s="52" t="s">
        <v>37</v>
      </c>
      <c r="H3" s="53" t="s">
        <v>38</v>
      </c>
      <c r="I3" s="54" t="s">
        <v>39</v>
      </c>
      <c r="J3" s="55" t="s">
        <v>40</v>
      </c>
      <c r="K3" s="55" t="s">
        <v>41</v>
      </c>
    </row>
    <row r="4" spans="2:12" x14ac:dyDescent="0.25">
      <c r="B4" s="12" t="s">
        <v>42</v>
      </c>
      <c r="C4" s="13">
        <v>8175</v>
      </c>
      <c r="D4" s="14">
        <v>0</v>
      </c>
      <c r="E4" s="14">
        <v>1075</v>
      </c>
      <c r="F4" s="14">
        <v>7100</v>
      </c>
      <c r="G4" s="13"/>
      <c r="H4" s="13">
        <v>7100</v>
      </c>
      <c r="I4" s="15"/>
      <c r="J4" s="16">
        <v>3000</v>
      </c>
      <c r="K4" s="16">
        <v>5000</v>
      </c>
      <c r="L4" s="40"/>
    </row>
    <row r="5" spans="2:12" x14ac:dyDescent="0.25">
      <c r="B5" s="12" t="s">
        <v>43</v>
      </c>
      <c r="C5" s="13">
        <v>0</v>
      </c>
      <c r="D5" s="14">
        <v>0</v>
      </c>
      <c r="E5" s="14">
        <v>0</v>
      </c>
      <c r="F5" s="14">
        <v>0</v>
      </c>
      <c r="G5" s="13"/>
      <c r="H5" s="13">
        <v>0</v>
      </c>
      <c r="I5" s="15"/>
      <c r="J5" s="16">
        <v>100</v>
      </c>
      <c r="K5" s="16">
        <v>200</v>
      </c>
      <c r="L5" s="40"/>
    </row>
    <row r="6" spans="2:12" x14ac:dyDescent="0.25">
      <c r="B6" s="17" t="s">
        <v>44</v>
      </c>
      <c r="C6" s="18">
        <v>0</v>
      </c>
      <c r="D6" s="14">
        <v>0</v>
      </c>
      <c r="E6" s="14">
        <v>0</v>
      </c>
      <c r="F6" s="14">
        <v>0</v>
      </c>
      <c r="G6" s="13"/>
      <c r="H6" s="13">
        <v>0</v>
      </c>
      <c r="I6" s="15"/>
      <c r="J6" s="19">
        <v>100</v>
      </c>
      <c r="K6" s="19">
        <v>200</v>
      </c>
      <c r="L6" s="40"/>
    </row>
    <row r="7" spans="2:12" x14ac:dyDescent="0.25">
      <c r="B7" s="17" t="s">
        <v>290</v>
      </c>
      <c r="C7" s="18">
        <v>2625</v>
      </c>
      <c r="D7" s="14">
        <v>0</v>
      </c>
      <c r="E7" s="14">
        <v>950</v>
      </c>
      <c r="F7" s="14">
        <v>1675</v>
      </c>
      <c r="G7" s="18"/>
      <c r="H7" s="13">
        <v>1675</v>
      </c>
      <c r="I7" s="15"/>
      <c r="J7" s="20">
        <v>2000</v>
      </c>
      <c r="K7" s="20">
        <v>5000</v>
      </c>
      <c r="L7" s="40"/>
    </row>
    <row r="8" spans="2:12" ht="16.5" customHeight="1" x14ac:dyDescent="0.25">
      <c r="B8" s="21" t="s">
        <v>291</v>
      </c>
      <c r="C8" s="18">
        <v>9250</v>
      </c>
      <c r="D8" s="14">
        <v>5025</v>
      </c>
      <c r="E8" s="14">
        <v>7300</v>
      </c>
      <c r="F8" s="14">
        <v>6975</v>
      </c>
      <c r="G8" s="18"/>
      <c r="H8" s="13">
        <v>6975</v>
      </c>
      <c r="I8" s="15"/>
      <c r="J8" s="20">
        <v>3000</v>
      </c>
      <c r="K8" s="20">
        <v>5000</v>
      </c>
      <c r="L8" s="40"/>
    </row>
    <row r="9" spans="2:12" ht="21" customHeight="1" x14ac:dyDescent="0.25">
      <c r="B9" s="21" t="s">
        <v>292</v>
      </c>
      <c r="C9" s="18">
        <v>0</v>
      </c>
      <c r="D9" s="14">
        <v>0</v>
      </c>
      <c r="E9" s="14">
        <v>0</v>
      </c>
      <c r="F9" s="14">
        <v>0</v>
      </c>
      <c r="G9" s="18"/>
      <c r="H9" s="13">
        <v>0</v>
      </c>
      <c r="I9" s="15"/>
      <c r="J9" s="20">
        <v>0</v>
      </c>
      <c r="K9" s="20">
        <v>0</v>
      </c>
      <c r="L9" s="40"/>
    </row>
    <row r="10" spans="2:12" x14ac:dyDescent="0.25">
      <c r="B10" s="22" t="s">
        <v>45</v>
      </c>
      <c r="C10" s="33">
        <v>47.379999999999995</v>
      </c>
      <c r="D10" s="34">
        <v>0.12</v>
      </c>
      <c r="E10" s="34">
        <v>2.85</v>
      </c>
      <c r="F10" s="34">
        <v>44.649999999999991</v>
      </c>
      <c r="G10" s="33"/>
      <c r="H10" s="35">
        <v>44.649999999999991</v>
      </c>
      <c r="I10" s="36"/>
      <c r="J10" s="37">
        <v>40</v>
      </c>
      <c r="K10" s="37">
        <v>75</v>
      </c>
    </row>
    <row r="11" spans="2:12" x14ac:dyDescent="0.25">
      <c r="B11" s="22" t="s">
        <v>46</v>
      </c>
      <c r="C11" s="33">
        <v>94.881</v>
      </c>
      <c r="D11" s="34">
        <v>2.3939999999999997</v>
      </c>
      <c r="E11" s="34">
        <v>35.4</v>
      </c>
      <c r="F11" s="34">
        <v>61.875000000000007</v>
      </c>
      <c r="G11" s="33"/>
      <c r="H11" s="35">
        <v>61.875000000000007</v>
      </c>
      <c r="I11" s="36"/>
      <c r="J11" s="37">
        <v>50</v>
      </c>
      <c r="K11" s="37">
        <v>75</v>
      </c>
    </row>
    <row r="12" spans="2:12" ht="16.5" customHeight="1" x14ac:dyDescent="0.25">
      <c r="B12" s="23" t="s">
        <v>25</v>
      </c>
      <c r="C12" s="33">
        <v>43.759999999999991</v>
      </c>
      <c r="D12" s="34">
        <v>25</v>
      </c>
      <c r="E12" s="34">
        <v>43.680000000000007</v>
      </c>
      <c r="F12" s="34">
        <v>25.079999999999984</v>
      </c>
      <c r="G12" s="33"/>
      <c r="H12" s="35">
        <v>25.079999999999984</v>
      </c>
      <c r="I12" s="36"/>
      <c r="J12" s="38">
        <v>40</v>
      </c>
      <c r="K12" s="38">
        <v>50</v>
      </c>
    </row>
    <row r="13" spans="2:12" ht="17.25" customHeight="1" x14ac:dyDescent="0.25">
      <c r="B13" s="25" t="s">
        <v>47</v>
      </c>
      <c r="C13" s="18">
        <v>0</v>
      </c>
      <c r="D13" s="14">
        <v>0</v>
      </c>
      <c r="E13" s="14">
        <v>0</v>
      </c>
      <c r="F13" s="14">
        <v>0</v>
      </c>
      <c r="G13" s="18"/>
      <c r="H13" s="13">
        <v>0</v>
      </c>
      <c r="I13" s="15"/>
      <c r="J13" s="26">
        <v>0</v>
      </c>
      <c r="K13" s="24">
        <v>0</v>
      </c>
    </row>
    <row r="14" spans="2:12" ht="16.5" customHeight="1" x14ac:dyDescent="0.25">
      <c r="B14" s="25" t="s">
        <v>48</v>
      </c>
      <c r="C14" s="18">
        <v>4.4589999999999996</v>
      </c>
      <c r="D14" s="14">
        <v>0</v>
      </c>
      <c r="E14" s="14">
        <v>0</v>
      </c>
      <c r="F14" s="14">
        <v>4.4589999999999996</v>
      </c>
      <c r="G14" s="18"/>
      <c r="H14" s="13">
        <v>4.4589999999999996</v>
      </c>
      <c r="I14" s="15"/>
      <c r="J14" s="26">
        <v>0</v>
      </c>
      <c r="K14" s="24">
        <v>0</v>
      </c>
    </row>
    <row r="15" spans="2:12" x14ac:dyDescent="0.25">
      <c r="B15" s="25" t="s">
        <v>49</v>
      </c>
      <c r="C15" s="18">
        <v>2.3250000000000002</v>
      </c>
      <c r="D15" s="14">
        <v>0</v>
      </c>
      <c r="E15" s="14">
        <v>0.3</v>
      </c>
      <c r="F15" s="14">
        <v>2.0250000000000004</v>
      </c>
      <c r="G15" s="18"/>
      <c r="H15" s="13">
        <v>2.0250000000000004</v>
      </c>
      <c r="I15" s="15"/>
      <c r="J15" s="26">
        <v>0</v>
      </c>
      <c r="K15" s="24">
        <v>0</v>
      </c>
    </row>
    <row r="16" spans="2:12" ht="17.25" customHeight="1" x14ac:dyDescent="0.25">
      <c r="B16" s="23" t="s">
        <v>50</v>
      </c>
      <c r="C16" s="33">
        <v>15</v>
      </c>
      <c r="D16" s="34">
        <v>0</v>
      </c>
      <c r="E16" s="34">
        <v>3</v>
      </c>
      <c r="F16" s="34">
        <v>12</v>
      </c>
      <c r="G16" s="33"/>
      <c r="H16" s="35">
        <v>12</v>
      </c>
      <c r="I16" s="36"/>
      <c r="J16" s="39">
        <v>10</v>
      </c>
      <c r="K16" s="38">
        <v>20</v>
      </c>
    </row>
    <row r="17" spans="2:11" ht="15.75" customHeight="1" x14ac:dyDescent="0.25">
      <c r="B17" s="23" t="s">
        <v>6</v>
      </c>
      <c r="C17" s="33">
        <v>12.429</v>
      </c>
      <c r="D17" s="34">
        <v>0</v>
      </c>
      <c r="E17" s="34">
        <v>2.7</v>
      </c>
      <c r="F17" s="34">
        <v>9.7289999999999992</v>
      </c>
      <c r="G17" s="33"/>
      <c r="H17" s="35">
        <v>9.7289999999999992</v>
      </c>
      <c r="I17" s="36"/>
      <c r="J17" s="39">
        <v>10</v>
      </c>
      <c r="K17" s="38">
        <v>20</v>
      </c>
    </row>
    <row r="18" spans="2:11" ht="30" x14ac:dyDescent="0.25">
      <c r="B18" s="23" t="s">
        <v>9</v>
      </c>
      <c r="C18" s="33">
        <v>11.873999999999999</v>
      </c>
      <c r="D18" s="34">
        <v>10.844999999999999</v>
      </c>
      <c r="E18" s="34">
        <v>14.739000000000001</v>
      </c>
      <c r="F18" s="34">
        <v>7.9799999999999969</v>
      </c>
      <c r="G18" s="33"/>
      <c r="H18" s="35">
        <v>7.9799999999999969</v>
      </c>
      <c r="I18" s="36"/>
      <c r="J18" s="39">
        <v>10</v>
      </c>
      <c r="K18" s="38">
        <v>20</v>
      </c>
    </row>
    <row r="19" spans="2:11" x14ac:dyDescent="0.25">
      <c r="B19" s="22" t="s">
        <v>293</v>
      </c>
      <c r="C19" s="33">
        <v>6.6999999999999993</v>
      </c>
      <c r="D19" s="34">
        <v>60.4</v>
      </c>
      <c r="E19" s="34">
        <v>16.95</v>
      </c>
      <c r="F19" s="34">
        <v>50.149999999999991</v>
      </c>
      <c r="G19" s="33"/>
      <c r="H19" s="35">
        <v>50.149999999999991</v>
      </c>
      <c r="I19" s="36"/>
      <c r="J19" s="39">
        <v>40</v>
      </c>
      <c r="K19" s="38">
        <v>50</v>
      </c>
    </row>
    <row r="20" spans="2:11" x14ac:dyDescent="0.25">
      <c r="B20" s="22" t="s">
        <v>28</v>
      </c>
      <c r="C20" s="33">
        <v>13.687000000000001</v>
      </c>
      <c r="D20" s="34">
        <v>0</v>
      </c>
      <c r="E20" s="34">
        <v>1.2</v>
      </c>
      <c r="F20" s="34">
        <v>12.487000000000002</v>
      </c>
      <c r="G20" s="33"/>
      <c r="H20" s="35">
        <v>12.487000000000002</v>
      </c>
      <c r="I20" s="36"/>
      <c r="J20" s="39">
        <v>10</v>
      </c>
      <c r="K20" s="38">
        <v>20</v>
      </c>
    </row>
    <row r="21" spans="2:11" ht="16.5" customHeight="1" x14ac:dyDescent="0.25">
      <c r="B21" s="23" t="s">
        <v>27</v>
      </c>
      <c r="C21" s="33">
        <v>14.058999999999999</v>
      </c>
      <c r="D21" s="34">
        <v>0</v>
      </c>
      <c r="E21" s="34">
        <v>1.2</v>
      </c>
      <c r="F21" s="34">
        <v>12.859</v>
      </c>
      <c r="G21" s="33"/>
      <c r="H21" s="35">
        <v>12.859</v>
      </c>
      <c r="I21" s="36"/>
      <c r="J21" s="39">
        <v>10</v>
      </c>
      <c r="K21" s="38">
        <v>20</v>
      </c>
    </row>
    <row r="22" spans="2:11" ht="18.75" customHeight="1" x14ac:dyDescent="0.25">
      <c r="B22" s="23" t="s">
        <v>11</v>
      </c>
      <c r="C22" s="33">
        <v>5.1180000000000003</v>
      </c>
      <c r="D22" s="34">
        <v>10</v>
      </c>
      <c r="E22" s="34">
        <v>2.0300000000000002</v>
      </c>
      <c r="F22" s="34">
        <v>13.088000000000001</v>
      </c>
      <c r="G22" s="33"/>
      <c r="H22" s="35">
        <v>13.088000000000001</v>
      </c>
      <c r="I22" s="36"/>
      <c r="J22" s="39">
        <v>10</v>
      </c>
      <c r="K22" s="38">
        <v>20</v>
      </c>
    </row>
    <row r="23" spans="2:11" ht="15.75" thickBot="1" x14ac:dyDescent="0.3">
      <c r="B23" s="56" t="s">
        <v>51</v>
      </c>
      <c r="C23" s="57">
        <v>17.501999999999999</v>
      </c>
      <c r="D23" s="58">
        <v>20</v>
      </c>
      <c r="E23" s="58">
        <v>0</v>
      </c>
      <c r="F23" s="58">
        <v>37.501999999999995</v>
      </c>
      <c r="G23" s="57"/>
      <c r="H23" s="59">
        <v>37.501999999999995</v>
      </c>
      <c r="I23" s="60"/>
      <c r="J23" s="39">
        <v>10</v>
      </c>
      <c r="K23" s="38">
        <v>20</v>
      </c>
    </row>
    <row r="24" spans="2:11" ht="38.25" customHeight="1" thickBot="1" x14ac:dyDescent="0.3">
      <c r="B24" s="63" t="s">
        <v>52</v>
      </c>
      <c r="C24" s="52" t="s">
        <v>33</v>
      </c>
      <c r="D24" s="45" t="s">
        <v>34</v>
      </c>
      <c r="E24" s="45" t="s">
        <v>35</v>
      </c>
      <c r="F24" s="45" t="s">
        <v>36</v>
      </c>
      <c r="G24" s="52" t="s">
        <v>37</v>
      </c>
      <c r="H24" s="53" t="s">
        <v>38</v>
      </c>
      <c r="I24" s="54" t="s">
        <v>39</v>
      </c>
      <c r="J24" s="55" t="s">
        <v>40</v>
      </c>
      <c r="K24" s="55" t="s">
        <v>41</v>
      </c>
    </row>
    <row r="25" spans="2:11" ht="20.25" customHeight="1" x14ac:dyDescent="0.25">
      <c r="B25" s="61" t="s">
        <v>53</v>
      </c>
      <c r="C25" s="13">
        <v>1.2749999999999999</v>
      </c>
      <c r="D25" s="14">
        <v>0</v>
      </c>
      <c r="E25" s="14">
        <v>0</v>
      </c>
      <c r="F25" s="14">
        <v>1.2749999999999999</v>
      </c>
      <c r="G25" s="13"/>
      <c r="H25" s="13">
        <v>1.2749999999999999</v>
      </c>
      <c r="I25" s="15"/>
      <c r="J25" s="62"/>
      <c r="K25" s="62"/>
    </row>
    <row r="26" spans="2:11" ht="23.25" customHeight="1" x14ac:dyDescent="0.25">
      <c r="B26" s="21" t="s">
        <v>54</v>
      </c>
      <c r="C26" s="18">
        <v>0.33500000000000002</v>
      </c>
      <c r="D26" s="14">
        <v>0</v>
      </c>
      <c r="E26" s="14">
        <v>0</v>
      </c>
      <c r="F26" s="14">
        <v>0.33500000000000002</v>
      </c>
      <c r="G26" s="18"/>
      <c r="H26" s="13">
        <v>0.33500000000000002</v>
      </c>
      <c r="I26" s="15"/>
      <c r="J26" s="24"/>
      <c r="K26" s="24"/>
    </row>
    <row r="27" spans="2:11" ht="14.25" customHeight="1" x14ac:dyDescent="0.25">
      <c r="B27" s="21" t="s">
        <v>55</v>
      </c>
      <c r="C27" s="18">
        <v>0</v>
      </c>
      <c r="D27" s="14">
        <v>0</v>
      </c>
      <c r="E27" s="14">
        <v>0</v>
      </c>
      <c r="F27" s="14">
        <v>0</v>
      </c>
      <c r="G27" s="18"/>
      <c r="H27" s="13">
        <v>0</v>
      </c>
      <c r="I27" s="15"/>
      <c r="J27" s="24"/>
      <c r="K27" s="24"/>
    </row>
    <row r="28" spans="2:11" ht="15" customHeight="1" x14ac:dyDescent="0.25">
      <c r="B28" s="21" t="s">
        <v>56</v>
      </c>
      <c r="C28" s="18">
        <v>1</v>
      </c>
      <c r="D28" s="14">
        <v>0</v>
      </c>
      <c r="E28" s="14">
        <v>0</v>
      </c>
      <c r="F28" s="14">
        <v>1</v>
      </c>
      <c r="G28" s="18"/>
      <c r="H28" s="13">
        <v>1</v>
      </c>
      <c r="I28" s="15"/>
      <c r="J28" s="24"/>
      <c r="K28" s="24"/>
    </row>
    <row r="29" spans="2:11" ht="18" customHeight="1" x14ac:dyDescent="0.25">
      <c r="B29" s="21" t="s">
        <v>57</v>
      </c>
      <c r="C29" s="18">
        <v>0.75</v>
      </c>
      <c r="D29" s="14">
        <v>0</v>
      </c>
      <c r="E29" s="14">
        <v>0</v>
      </c>
      <c r="F29" s="14">
        <v>0.75</v>
      </c>
      <c r="G29" s="18"/>
      <c r="H29" s="13">
        <v>0.75</v>
      </c>
      <c r="I29" s="15"/>
      <c r="J29" s="24"/>
      <c r="K29" s="24"/>
    </row>
    <row r="30" spans="2:11" ht="17.25" customHeight="1" x14ac:dyDescent="0.25">
      <c r="B30" s="21" t="s">
        <v>58</v>
      </c>
      <c r="C30" s="18">
        <v>0.68</v>
      </c>
      <c r="D30" s="14">
        <v>0</v>
      </c>
      <c r="E30" s="14">
        <v>0</v>
      </c>
      <c r="F30" s="14">
        <v>0.68</v>
      </c>
      <c r="G30" s="18"/>
      <c r="H30" s="13">
        <v>0.68</v>
      </c>
      <c r="I30" s="15"/>
      <c r="J30" s="24"/>
      <c r="K30" s="24"/>
    </row>
    <row r="31" spans="2:11" ht="19.5" customHeight="1" x14ac:dyDescent="0.25">
      <c r="B31" s="21" t="s">
        <v>59</v>
      </c>
      <c r="C31" s="18">
        <v>1.075</v>
      </c>
      <c r="D31" s="14">
        <v>0</v>
      </c>
      <c r="E31" s="14">
        <v>0</v>
      </c>
      <c r="F31" s="14">
        <v>1.075</v>
      </c>
      <c r="G31" s="18"/>
      <c r="H31" s="13">
        <v>1.075</v>
      </c>
      <c r="I31" s="15"/>
      <c r="J31" s="24"/>
      <c r="K31" s="24"/>
    </row>
    <row r="32" spans="2:11" ht="17.25" customHeight="1" x14ac:dyDescent="0.25">
      <c r="B32" s="21" t="s">
        <v>60</v>
      </c>
      <c r="C32" s="18">
        <v>0.14799999999999999</v>
      </c>
      <c r="D32" s="14">
        <v>0</v>
      </c>
      <c r="E32" s="14">
        <v>0</v>
      </c>
      <c r="F32" s="14">
        <v>0.14799999999999999</v>
      </c>
      <c r="G32" s="18"/>
      <c r="H32" s="13">
        <v>0.14799999999999999</v>
      </c>
      <c r="I32" s="15"/>
      <c r="J32" s="27"/>
      <c r="K32" s="27"/>
    </row>
    <row r="33" spans="2:11" ht="21.75" customHeight="1" x14ac:dyDescent="0.25">
      <c r="B33" s="21" t="s">
        <v>61</v>
      </c>
      <c r="C33" s="18">
        <v>0.62</v>
      </c>
      <c r="D33" s="14">
        <v>0</v>
      </c>
      <c r="E33" s="14">
        <v>0</v>
      </c>
      <c r="F33" s="14">
        <v>0.62</v>
      </c>
      <c r="G33" s="18"/>
      <c r="H33" s="13">
        <v>0.62</v>
      </c>
      <c r="I33" s="15"/>
      <c r="J33" s="27"/>
      <c r="K33" s="27"/>
    </row>
    <row r="34" spans="2:11" ht="19.5" customHeight="1" x14ac:dyDescent="0.25">
      <c r="B34" s="21" t="s">
        <v>62</v>
      </c>
      <c r="C34" s="18">
        <v>1.635</v>
      </c>
      <c r="D34" s="14">
        <v>0</v>
      </c>
      <c r="E34" s="14">
        <v>0</v>
      </c>
      <c r="F34" s="14">
        <v>1.635</v>
      </c>
      <c r="G34" s="18"/>
      <c r="H34" s="13">
        <v>1.635</v>
      </c>
      <c r="I34" s="28"/>
      <c r="J34" s="27"/>
      <c r="K34" s="27"/>
    </row>
    <row r="35" spans="2:11" ht="22.5" customHeight="1" x14ac:dyDescent="0.25">
      <c r="B35" s="21" t="s">
        <v>63</v>
      </c>
      <c r="C35" s="18">
        <v>0.74</v>
      </c>
      <c r="D35" s="29">
        <v>0</v>
      </c>
      <c r="E35" s="29">
        <v>0</v>
      </c>
      <c r="F35" s="29">
        <v>0.74</v>
      </c>
      <c r="G35" s="18"/>
      <c r="H35" s="18">
        <v>0.74</v>
      </c>
      <c r="I35" s="28"/>
      <c r="J35" s="27"/>
      <c r="K35" s="27"/>
    </row>
    <row r="36" spans="2:11" ht="17.25" customHeight="1" x14ac:dyDescent="0.25">
      <c r="B36" s="21" t="s">
        <v>64</v>
      </c>
      <c r="C36" s="18">
        <v>0.17199999999999999</v>
      </c>
      <c r="D36" s="29">
        <v>0</v>
      </c>
      <c r="E36" s="29">
        <v>0</v>
      </c>
      <c r="F36" s="29">
        <v>0.17199999999999999</v>
      </c>
      <c r="G36" s="29"/>
      <c r="H36" s="18">
        <v>0.17199999999999999</v>
      </c>
      <c r="I36" s="17"/>
      <c r="J36" s="17"/>
      <c r="K36" s="17"/>
    </row>
    <row r="37" spans="2:11" x14ac:dyDescent="0.25">
      <c r="B37" s="31" t="s">
        <v>4</v>
      </c>
      <c r="C37" s="33">
        <v>44.025000000000006</v>
      </c>
      <c r="D37" s="34">
        <v>10.15</v>
      </c>
      <c r="E37" s="34">
        <v>1.9969999999999999</v>
      </c>
      <c r="F37" s="34">
        <v>52.178000000000004</v>
      </c>
      <c r="G37" s="33"/>
      <c r="H37" s="35">
        <v>52.178000000000004</v>
      </c>
      <c r="I37" s="41"/>
      <c r="J37" s="42">
        <v>40</v>
      </c>
      <c r="K37" s="42">
        <v>50</v>
      </c>
    </row>
    <row r="38" spans="2:11" x14ac:dyDescent="0.25">
      <c r="B38" s="31" t="s">
        <v>8</v>
      </c>
      <c r="C38" s="33">
        <v>8.4079999999999995</v>
      </c>
      <c r="D38" s="34">
        <v>10.029</v>
      </c>
      <c r="E38" s="34">
        <v>3.45</v>
      </c>
      <c r="F38" s="34">
        <v>14.986999999999998</v>
      </c>
      <c r="G38" s="33"/>
      <c r="H38" s="35">
        <v>14.986999999999998</v>
      </c>
      <c r="I38" s="41"/>
      <c r="J38" s="42">
        <v>10</v>
      </c>
      <c r="K38" s="42">
        <v>20</v>
      </c>
    </row>
    <row r="39" spans="2:11" x14ac:dyDescent="0.25">
      <c r="B39" s="32" t="s">
        <v>65</v>
      </c>
      <c r="C39" s="18">
        <v>0.84399999999999997</v>
      </c>
      <c r="D39" s="14">
        <v>0</v>
      </c>
      <c r="E39" s="14">
        <v>0</v>
      </c>
      <c r="F39" s="14">
        <v>0.84399999999999997</v>
      </c>
      <c r="G39" s="43"/>
      <c r="H39" s="13">
        <v>0.84399999999999997</v>
      </c>
      <c r="I39" s="17"/>
      <c r="J39" s="27"/>
      <c r="K39" s="27"/>
    </row>
    <row r="40" spans="2:11" x14ac:dyDescent="0.25">
      <c r="B40" s="32" t="s">
        <v>66</v>
      </c>
      <c r="C40" s="18">
        <v>1.665</v>
      </c>
      <c r="D40" s="14">
        <v>0</v>
      </c>
      <c r="E40" s="14">
        <v>0</v>
      </c>
      <c r="F40" s="14">
        <v>1.665</v>
      </c>
      <c r="G40" s="29"/>
      <c r="H40" s="13">
        <v>1.665</v>
      </c>
      <c r="I40" s="17"/>
      <c r="J40" s="27"/>
      <c r="K40" s="27"/>
    </row>
    <row r="41" spans="2:11" ht="18.75" customHeight="1" x14ac:dyDescent="0.25">
      <c r="B41" s="21" t="s">
        <v>67</v>
      </c>
      <c r="C41" s="18">
        <v>5</v>
      </c>
      <c r="D41" s="14">
        <v>0</v>
      </c>
      <c r="E41" s="14">
        <v>0.9</v>
      </c>
      <c r="F41" s="14">
        <v>4.0999999999999996</v>
      </c>
      <c r="G41" s="29"/>
      <c r="H41" s="13">
        <v>4.0999999999999996</v>
      </c>
      <c r="I41" s="17"/>
      <c r="J41" s="27"/>
      <c r="K41" s="27"/>
    </row>
    <row r="42" spans="2:11" ht="24" customHeight="1" x14ac:dyDescent="0.25">
      <c r="B42" s="21" t="s">
        <v>68</v>
      </c>
      <c r="C42" s="18">
        <v>25</v>
      </c>
      <c r="D42" s="14">
        <v>0</v>
      </c>
      <c r="E42" s="14">
        <v>0</v>
      </c>
      <c r="F42" s="14">
        <v>25</v>
      </c>
      <c r="G42" s="29"/>
      <c r="H42" s="13">
        <v>25</v>
      </c>
      <c r="I42" s="17"/>
      <c r="J42" s="27"/>
      <c r="K42" s="27"/>
    </row>
    <row r="43" spans="2:11" ht="21" customHeight="1" x14ac:dyDescent="0.25">
      <c r="B43" s="21" t="s">
        <v>69</v>
      </c>
      <c r="C43" s="18">
        <v>25</v>
      </c>
      <c r="D43" s="14">
        <v>0</v>
      </c>
      <c r="E43" s="14">
        <v>0</v>
      </c>
      <c r="F43" s="14">
        <v>25</v>
      </c>
      <c r="G43" s="18"/>
      <c r="H43" s="13">
        <v>25</v>
      </c>
      <c r="I43" s="28"/>
      <c r="J43" s="27"/>
      <c r="K43" s="27"/>
    </row>
    <row r="44" spans="2:11" ht="23.25" customHeight="1" x14ac:dyDescent="0.25">
      <c r="B44" s="21" t="s">
        <v>70</v>
      </c>
      <c r="C44" s="18">
        <v>0</v>
      </c>
      <c r="D44" s="14">
        <v>10</v>
      </c>
      <c r="E44" s="14">
        <v>0.75</v>
      </c>
      <c r="F44" s="14">
        <v>9.25</v>
      </c>
      <c r="G44" s="18"/>
      <c r="H44" s="13">
        <v>9.25</v>
      </c>
      <c r="I44" s="28"/>
      <c r="J44" s="27"/>
      <c r="K44" s="27"/>
    </row>
    <row r="45" spans="2:11" ht="19.5" customHeight="1" thickBot="1" x14ac:dyDescent="0.3">
      <c r="B45" s="46" t="s">
        <v>71</v>
      </c>
      <c r="C45" s="47">
        <v>0</v>
      </c>
      <c r="D45" s="48">
        <v>5</v>
      </c>
      <c r="E45" s="48">
        <v>4.6500000000000004</v>
      </c>
      <c r="F45" s="48">
        <v>0.34999999999999964</v>
      </c>
      <c r="G45" s="47"/>
      <c r="H45" s="49">
        <v>0.34999999999999964</v>
      </c>
      <c r="I45" s="50"/>
      <c r="J45" s="24"/>
      <c r="K45" s="24"/>
    </row>
    <row r="46" spans="2:11" ht="45.75" thickBot="1" x14ac:dyDescent="0.3">
      <c r="B46" s="51" t="s">
        <v>72</v>
      </c>
      <c r="C46" s="52" t="s">
        <v>33</v>
      </c>
      <c r="D46" s="45" t="s">
        <v>34</v>
      </c>
      <c r="E46" s="45" t="s">
        <v>35</v>
      </c>
      <c r="F46" s="45" t="s">
        <v>36</v>
      </c>
      <c r="G46" s="52" t="s">
        <v>37</v>
      </c>
      <c r="H46" s="53" t="s">
        <v>38</v>
      </c>
      <c r="I46" s="54" t="s">
        <v>39</v>
      </c>
      <c r="J46" s="55" t="s">
        <v>40</v>
      </c>
      <c r="K46" s="55" t="s">
        <v>41</v>
      </c>
    </row>
    <row r="47" spans="2:11" x14ac:dyDescent="0.25">
      <c r="B47" s="12" t="s">
        <v>73</v>
      </c>
      <c r="C47" s="13">
        <v>270.18</v>
      </c>
      <c r="D47" s="14">
        <v>0</v>
      </c>
      <c r="E47" s="14">
        <v>0</v>
      </c>
      <c r="F47" s="14">
        <v>270.18</v>
      </c>
      <c r="G47" s="13"/>
      <c r="H47" s="13">
        <v>270.18</v>
      </c>
      <c r="I47" s="12"/>
      <c r="J47" s="12"/>
      <c r="K47" s="12"/>
    </row>
    <row r="48" spans="2:11" x14ac:dyDescent="0.25">
      <c r="B48" s="17" t="s">
        <v>74</v>
      </c>
      <c r="C48" s="18">
        <v>424</v>
      </c>
      <c r="D48" s="14">
        <v>160.6</v>
      </c>
      <c r="E48" s="14">
        <v>0</v>
      </c>
      <c r="F48" s="14">
        <v>584.6</v>
      </c>
      <c r="G48" s="29"/>
      <c r="H48" s="13">
        <v>584.6</v>
      </c>
      <c r="I48" s="17"/>
      <c r="J48" s="17"/>
      <c r="K48" s="17"/>
    </row>
    <row r="49" spans="2:11" x14ac:dyDescent="0.25">
      <c r="B49" s="17" t="s">
        <v>75</v>
      </c>
      <c r="C49" s="18">
        <v>17</v>
      </c>
      <c r="D49" s="14">
        <v>0</v>
      </c>
      <c r="E49" s="14">
        <v>17</v>
      </c>
      <c r="F49" s="14">
        <v>0</v>
      </c>
      <c r="G49" s="29"/>
      <c r="H49" s="13">
        <v>0</v>
      </c>
      <c r="I49" s="17"/>
      <c r="J49" s="17"/>
      <c r="K49" s="17"/>
    </row>
    <row r="50" spans="2:11" x14ac:dyDescent="0.25">
      <c r="B50" s="17" t="s">
        <v>76</v>
      </c>
      <c r="C50" s="18">
        <v>0</v>
      </c>
      <c r="D50" s="14">
        <v>32</v>
      </c>
      <c r="E50" s="14">
        <v>14.4</v>
      </c>
      <c r="F50" s="14">
        <v>17.600000000000001</v>
      </c>
      <c r="G50" s="29"/>
      <c r="H50" s="13">
        <v>17.600000000000001</v>
      </c>
      <c r="I50" s="17"/>
      <c r="J50" s="17"/>
      <c r="K50" s="17"/>
    </row>
    <row r="51" spans="2:11" x14ac:dyDescent="0.25">
      <c r="B51" s="17" t="s">
        <v>77</v>
      </c>
      <c r="C51" s="18">
        <v>0</v>
      </c>
      <c r="D51" s="14">
        <v>0</v>
      </c>
      <c r="E51" s="14">
        <v>0</v>
      </c>
      <c r="F51" s="14">
        <v>0</v>
      </c>
      <c r="G51" s="29"/>
      <c r="H51" s="13">
        <v>0</v>
      </c>
      <c r="I51" s="17"/>
      <c r="J51" s="17"/>
      <c r="K51" s="17"/>
    </row>
    <row r="52" spans="2:11" x14ac:dyDescent="0.25">
      <c r="B52" s="17" t="s">
        <v>78</v>
      </c>
      <c r="C52" s="18">
        <v>0</v>
      </c>
      <c r="D52" s="14">
        <v>0</v>
      </c>
      <c r="E52" s="14">
        <v>0</v>
      </c>
      <c r="F52" s="14">
        <v>0</v>
      </c>
      <c r="G52" s="29"/>
      <c r="H52" s="13">
        <v>0</v>
      </c>
      <c r="I52" s="17"/>
      <c r="J52" s="17"/>
      <c r="K52" s="17"/>
    </row>
    <row r="53" spans="2:11" x14ac:dyDescent="0.25">
      <c r="B53" s="17" t="s">
        <v>79</v>
      </c>
      <c r="C53" s="18">
        <v>13</v>
      </c>
      <c r="D53" s="14">
        <v>0</v>
      </c>
      <c r="E53" s="14">
        <v>0</v>
      </c>
      <c r="F53" s="14">
        <v>13</v>
      </c>
      <c r="G53" s="29"/>
      <c r="H53" s="13">
        <v>13</v>
      </c>
      <c r="I53" s="17"/>
      <c r="J53" s="17"/>
      <c r="K53" s="17"/>
    </row>
    <row r="54" spans="2:11" x14ac:dyDescent="0.25">
      <c r="B54" s="44" t="s">
        <v>80</v>
      </c>
      <c r="C54" s="18">
        <v>10.6</v>
      </c>
      <c r="D54" s="14">
        <v>0</v>
      </c>
      <c r="E54" s="14">
        <v>0</v>
      </c>
      <c r="F54" s="14">
        <v>10.6</v>
      </c>
      <c r="G54" s="29"/>
      <c r="H54" s="13">
        <v>10.6</v>
      </c>
      <c r="I54" s="44"/>
      <c r="J54" s="44"/>
      <c r="K54" s="44"/>
    </row>
    <row r="55" spans="2:11" x14ac:dyDescent="0.25">
      <c r="B55" s="17" t="s">
        <v>81</v>
      </c>
      <c r="C55" s="18">
        <v>0</v>
      </c>
      <c r="D55" s="14">
        <v>0</v>
      </c>
      <c r="E55" s="14">
        <v>0</v>
      </c>
      <c r="F55" s="14">
        <v>0</v>
      </c>
      <c r="G55" s="29"/>
      <c r="H55" s="13">
        <v>0</v>
      </c>
      <c r="I55" s="17"/>
      <c r="J55" s="17"/>
      <c r="K55" s="17"/>
    </row>
    <row r="56" spans="2:11" x14ac:dyDescent="0.25">
      <c r="B56" s="17" t="s">
        <v>82</v>
      </c>
      <c r="C56" s="18">
        <v>0</v>
      </c>
      <c r="D56" s="14">
        <v>0</v>
      </c>
      <c r="E56" s="14">
        <v>0</v>
      </c>
      <c r="F56" s="14">
        <v>0</v>
      </c>
      <c r="G56" s="29"/>
      <c r="H56" s="13">
        <v>0</v>
      </c>
      <c r="I56" s="17"/>
      <c r="J56" s="17"/>
      <c r="K56" s="17"/>
    </row>
    <row r="57" spans="2:11" x14ac:dyDescent="0.25">
      <c r="B57" s="17" t="s">
        <v>83</v>
      </c>
      <c r="C57" s="18">
        <v>197.2</v>
      </c>
      <c r="D57" s="29">
        <v>0</v>
      </c>
      <c r="E57" s="29">
        <v>0</v>
      </c>
      <c r="F57" s="29">
        <v>197.2</v>
      </c>
      <c r="G57" s="29"/>
      <c r="H57" s="18">
        <v>197.2</v>
      </c>
      <c r="I57" s="17"/>
      <c r="J57" s="17"/>
      <c r="K57" s="17"/>
    </row>
    <row r="58" spans="2:11" x14ac:dyDescent="0.25">
      <c r="B58" s="17" t="s">
        <v>84</v>
      </c>
      <c r="C58" s="18">
        <v>0</v>
      </c>
      <c r="D58" s="29">
        <v>90.8</v>
      </c>
      <c r="E58" s="29">
        <v>80.599999999999994</v>
      </c>
      <c r="F58" s="29">
        <v>10.200000000000003</v>
      </c>
      <c r="G58" s="29"/>
      <c r="H58" s="18">
        <v>10.200000000000003</v>
      </c>
      <c r="I58" s="17"/>
      <c r="J58" s="17"/>
      <c r="K58" s="17"/>
    </row>
    <row r="59" spans="2:11" x14ac:dyDescent="0.25">
      <c r="B59" s="17" t="s">
        <v>85</v>
      </c>
      <c r="C59" s="18">
        <v>0</v>
      </c>
      <c r="D59" s="29">
        <v>21.8</v>
      </c>
      <c r="E59" s="29">
        <v>21.8</v>
      </c>
      <c r="F59" s="29">
        <v>0</v>
      </c>
      <c r="G59" s="29"/>
      <c r="H59" s="18">
        <v>0</v>
      </c>
      <c r="I59" s="17"/>
      <c r="J59" s="17"/>
      <c r="K59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8"/>
  <sheetViews>
    <sheetView workbookViewId="0">
      <selection activeCell="O79" sqref="O79"/>
    </sheetView>
  </sheetViews>
  <sheetFormatPr baseColWidth="10" defaultRowHeight="15" x14ac:dyDescent="0.25"/>
  <cols>
    <col min="4" max="4" width="38.5703125" customWidth="1"/>
    <col min="5" max="5" width="29.85546875" customWidth="1"/>
    <col min="9" max="9" width="11.85546875" bestFit="1" customWidth="1"/>
  </cols>
  <sheetData>
    <row r="1" spans="2:12" ht="15.75" thickBot="1" x14ac:dyDescent="0.3"/>
    <row r="2" spans="2:12" ht="75" x14ac:dyDescent="0.25">
      <c r="B2" s="67" t="s">
        <v>88</v>
      </c>
      <c r="C2" s="5" t="s">
        <v>89</v>
      </c>
      <c r="D2" s="68" t="s">
        <v>90</v>
      </c>
      <c r="E2" s="69" t="s">
        <v>91</v>
      </c>
      <c r="F2" s="70" t="s">
        <v>92</v>
      </c>
      <c r="G2" s="71" t="s">
        <v>93</v>
      </c>
      <c r="H2" s="71" t="s">
        <v>94</v>
      </c>
      <c r="I2" s="72" t="s">
        <v>95</v>
      </c>
      <c r="J2" s="73" t="s">
        <v>96</v>
      </c>
      <c r="K2" s="74" t="s">
        <v>97</v>
      </c>
      <c r="L2" s="74" t="s">
        <v>98</v>
      </c>
    </row>
    <row r="3" spans="2:12" x14ac:dyDescent="0.25">
      <c r="B3" s="75" t="str">
        <f>LEFT([1]!STOCK[[#This Row],[CODIGO DE BARRAS]],5)</f>
        <v>001B-</v>
      </c>
      <c r="C3" s="30" t="s">
        <v>99</v>
      </c>
      <c r="D3" s="76" t="s">
        <v>12</v>
      </c>
      <c r="E3" s="77" t="s">
        <v>0</v>
      </c>
      <c r="F3" s="30">
        <v>0</v>
      </c>
      <c r="G3" s="78" t="e">
        <f>SUMIF([1]ENTRADA!D$2:D$3295,D3,[1]ENTRADA!G$2:G$2)</f>
        <v>#VALUE!</v>
      </c>
      <c r="H3" s="78" t="e">
        <f>SUMIF([1]SALIDAS!D$2:D$1371,D3,[1]SALIDAS!G$2:G$2)</f>
        <v>#VALUE!</v>
      </c>
      <c r="I3" s="78" t="e">
        <f>F3+G3-H3</f>
        <v>#VALUE!</v>
      </c>
      <c r="J3" s="79" t="e">
        <f t="shared" ref="J3:J66" si="0">I3*0.16</f>
        <v>#VALUE!</v>
      </c>
      <c r="K3" s="80">
        <v>2000</v>
      </c>
      <c r="L3" s="81">
        <v>1500</v>
      </c>
    </row>
    <row r="4" spans="2:12" x14ac:dyDescent="0.25">
      <c r="B4" s="75" t="str">
        <f>LEFT([1]!STOCK[[#This Row],[CODIGO DE BARRAS]],5)</f>
        <v>002B-</v>
      </c>
      <c r="C4" s="30" t="s">
        <v>100</v>
      </c>
      <c r="D4" s="76" t="s">
        <v>20</v>
      </c>
      <c r="E4" s="82"/>
      <c r="F4" s="30">
        <v>443</v>
      </c>
      <c r="G4" s="78" t="e">
        <f>SUMIF([1]ENTRADA!D$2:D$3295,D4,[1]ENTRADA!G$2:G$2)</f>
        <v>#VALUE!</v>
      </c>
      <c r="H4" s="78" t="e">
        <f>SUMIF([1]SALIDAS!D$2:D$1371,D4,[1]SALIDAS!G$2:G$2)</f>
        <v>#VALUE!</v>
      </c>
      <c r="I4" s="78" t="e">
        <f>F4+G4-H4</f>
        <v>#VALUE!</v>
      </c>
      <c r="J4" s="79" t="e">
        <f t="shared" si="0"/>
        <v>#VALUE!</v>
      </c>
      <c r="K4" s="80">
        <v>2000</v>
      </c>
      <c r="L4" s="81">
        <v>1500</v>
      </c>
    </row>
    <row r="5" spans="2:12" x14ac:dyDescent="0.25">
      <c r="B5" s="75" t="str">
        <f>LEFT([1]!STOCK[[#This Row],[CODIGO DE BARRAS]],5)</f>
        <v>003B-</v>
      </c>
      <c r="C5" s="30" t="s">
        <v>101</v>
      </c>
      <c r="D5" s="76" t="s">
        <v>21</v>
      </c>
      <c r="E5" s="83"/>
      <c r="F5" s="30">
        <v>42</v>
      </c>
      <c r="G5" s="78" t="e">
        <f>SUMIF([1]ENTRADA!D$2:D$3295,D5,[1]ENTRADA!G$2:G$2)</f>
        <v>#VALUE!</v>
      </c>
      <c r="H5" s="78" t="e">
        <f>SUMIF([1]SALIDAS!D$2:D$1371,D5,[1]SALIDAS!G$2:G$2)</f>
        <v>#VALUE!</v>
      </c>
      <c r="I5" s="78" t="e">
        <f t="shared" ref="I5:I68" si="1">F5+G5-H5</f>
        <v>#VALUE!</v>
      </c>
      <c r="J5" s="79" t="e">
        <f t="shared" si="0"/>
        <v>#VALUE!</v>
      </c>
      <c r="K5" s="80">
        <v>700</v>
      </c>
      <c r="L5" s="81">
        <v>500</v>
      </c>
    </row>
    <row r="6" spans="2:12" x14ac:dyDescent="0.25">
      <c r="B6" s="75" t="str">
        <f>LEFT([1]!STOCK[[#This Row],[CODIGO DE BARRAS]],5)</f>
        <v>004A-</v>
      </c>
      <c r="C6" s="30" t="s">
        <v>102</v>
      </c>
      <c r="D6" s="76" t="s">
        <v>258</v>
      </c>
      <c r="E6" s="84"/>
      <c r="F6" s="30">
        <v>161</v>
      </c>
      <c r="G6" s="78" t="e">
        <f>SUMIF([1]ENTRADA!D$2:D$3295,D6,[1]ENTRADA!G$2:G$2)</f>
        <v>#VALUE!</v>
      </c>
      <c r="H6" s="78" t="e">
        <f>SUMIF([1]SALIDAS!D$2:D$1371,D6,[1]SALIDAS!G$2:G$2)</f>
        <v>#VALUE!</v>
      </c>
      <c r="I6" s="78" t="e">
        <f t="shared" si="1"/>
        <v>#VALUE!</v>
      </c>
      <c r="J6" s="79" t="e">
        <f t="shared" si="0"/>
        <v>#VALUE!</v>
      </c>
      <c r="K6" s="80">
        <v>700</v>
      </c>
      <c r="L6" s="81">
        <v>500</v>
      </c>
    </row>
    <row r="7" spans="2:12" x14ac:dyDescent="0.25">
      <c r="B7" s="75" t="str">
        <f>LEFT([1]!STOCK[[#This Row],[CODIGO DE BARRAS]],5)</f>
        <v>009B-</v>
      </c>
      <c r="C7" s="30" t="s">
        <v>103</v>
      </c>
      <c r="D7" s="76" t="s">
        <v>19</v>
      </c>
      <c r="E7" s="85"/>
      <c r="F7" s="30">
        <v>199</v>
      </c>
      <c r="G7" s="78" t="e">
        <f>SUMIF([1]ENTRADA!D$2:D$3295,D7,[1]ENTRADA!G$2:G$2)</f>
        <v>#VALUE!</v>
      </c>
      <c r="H7" s="78" t="e">
        <f>SUMIF([1]SALIDAS!D$2:D$1371,D7,[1]SALIDAS!G$2:G$2)</f>
        <v>#VALUE!</v>
      </c>
      <c r="I7" s="78" t="e">
        <f t="shared" si="1"/>
        <v>#VALUE!</v>
      </c>
      <c r="J7" s="79" t="e">
        <f t="shared" si="0"/>
        <v>#VALUE!</v>
      </c>
      <c r="K7" s="80">
        <v>700</v>
      </c>
      <c r="L7" s="81">
        <v>500</v>
      </c>
    </row>
    <row r="8" spans="2:12" x14ac:dyDescent="0.25">
      <c r="B8" s="75" t="str">
        <f>LEFT([1]!STOCK[[#This Row],[CODIGO DE BARRAS]],5)</f>
        <v>005B-</v>
      </c>
      <c r="C8" s="30" t="s">
        <v>104</v>
      </c>
      <c r="D8" s="76" t="s">
        <v>14</v>
      </c>
      <c r="E8" s="86"/>
      <c r="F8" s="30">
        <v>204</v>
      </c>
      <c r="G8" s="78" t="e">
        <f>SUMIF([1]ENTRADA!D$2:D$3295,D8,[1]ENTRADA!G$2:G$2)</f>
        <v>#VALUE!</v>
      </c>
      <c r="H8" s="78" t="e">
        <f>SUMIF([1]SALIDAS!D$2:D$1371,D8,[1]SALIDAS!G$2:G$2)</f>
        <v>#VALUE!</v>
      </c>
      <c r="I8" s="78" t="e">
        <f t="shared" si="1"/>
        <v>#VALUE!</v>
      </c>
      <c r="J8" s="79" t="e">
        <f t="shared" si="0"/>
        <v>#VALUE!</v>
      </c>
      <c r="K8" s="80">
        <v>700</v>
      </c>
      <c r="L8" s="81">
        <v>500</v>
      </c>
    </row>
    <row r="9" spans="2:12" x14ac:dyDescent="0.25">
      <c r="B9" s="75" t="str">
        <f>LEFT([1]!STOCK[[#This Row],[CODIGO DE BARRAS]],5)</f>
        <v>075A-</v>
      </c>
      <c r="C9" s="30" t="s">
        <v>105</v>
      </c>
      <c r="D9" s="76" t="s">
        <v>22</v>
      </c>
      <c r="E9" s="87"/>
      <c r="F9" s="30">
        <v>18</v>
      </c>
      <c r="G9" s="78" t="e">
        <f>SUMIF([1]ENTRADA!D$2:D$3295,D9,[1]ENTRADA!G$2:G$2)</f>
        <v>#VALUE!</v>
      </c>
      <c r="H9" s="78" t="e">
        <f>SUMIF([1]SALIDAS!D$2:D$1371,D9,[1]SALIDAS!G$2:G$2)</f>
        <v>#VALUE!</v>
      </c>
      <c r="I9" s="78" t="e">
        <f t="shared" si="1"/>
        <v>#VALUE!</v>
      </c>
      <c r="J9" s="79" t="e">
        <f t="shared" si="0"/>
        <v>#VALUE!</v>
      </c>
      <c r="K9" s="80">
        <v>700</v>
      </c>
      <c r="L9" s="81">
        <v>500</v>
      </c>
    </row>
    <row r="10" spans="2:12" x14ac:dyDescent="0.25">
      <c r="B10" s="75" t="str">
        <f>LEFT([1]!STOCK[[#This Row],[CODIGO DE BARRAS]],5)</f>
        <v>006A-</v>
      </c>
      <c r="C10" s="30" t="s">
        <v>106</v>
      </c>
      <c r="D10" s="76" t="s">
        <v>15</v>
      </c>
      <c r="E10" s="88"/>
      <c r="F10" s="30">
        <v>36</v>
      </c>
      <c r="G10" s="78" t="e">
        <f>SUMIF([1]ENTRADA!D$2:D$3295,D10,[1]ENTRADA!G$2:G$2)</f>
        <v>#VALUE!</v>
      </c>
      <c r="H10" s="78" t="e">
        <f>SUMIF([1]SALIDAS!D$2:D$1371,D10,[1]SALIDAS!G$2:G$2)</f>
        <v>#VALUE!</v>
      </c>
      <c r="I10" s="78" t="e">
        <f t="shared" si="1"/>
        <v>#VALUE!</v>
      </c>
      <c r="J10" s="79" t="e">
        <f t="shared" si="0"/>
        <v>#VALUE!</v>
      </c>
      <c r="K10" s="80">
        <v>700</v>
      </c>
      <c r="L10" s="81">
        <v>500</v>
      </c>
    </row>
    <row r="11" spans="2:12" x14ac:dyDescent="0.25">
      <c r="B11" s="75" t="str">
        <f>LEFT([1]!STOCK[[#This Row],[CODIGO DE BARRAS]],5)</f>
        <v>007B-</v>
      </c>
      <c r="C11" s="30" t="s">
        <v>107</v>
      </c>
      <c r="D11" s="76" t="s">
        <v>23</v>
      </c>
      <c r="E11" s="89"/>
      <c r="F11" s="30">
        <v>62</v>
      </c>
      <c r="G11" s="78" t="e">
        <f>SUMIF([1]ENTRADA!D$2:D$3295,D11,[1]ENTRADA!G$2:G$2)</f>
        <v>#VALUE!</v>
      </c>
      <c r="H11" s="78" t="e">
        <f>SUMIF([1]SALIDAS!D$2:D$1371,D11,[1]SALIDAS!G$2:G$2)</f>
        <v>#VALUE!</v>
      </c>
      <c r="I11" s="78" t="e">
        <f t="shared" si="1"/>
        <v>#VALUE!</v>
      </c>
      <c r="J11" s="79" t="e">
        <f t="shared" si="0"/>
        <v>#VALUE!</v>
      </c>
      <c r="K11" s="80">
        <v>700</v>
      </c>
      <c r="L11" s="81">
        <v>500</v>
      </c>
    </row>
    <row r="12" spans="2:12" x14ac:dyDescent="0.25">
      <c r="B12" s="75" t="str">
        <f>LEFT([1]!STOCK[[#This Row],[CODIGO DE BARRAS]],5)</f>
        <v>072A-</v>
      </c>
      <c r="C12" s="30" t="s">
        <v>108</v>
      </c>
      <c r="D12" s="76" t="s">
        <v>24</v>
      </c>
      <c r="E12" s="90"/>
      <c r="F12" s="30">
        <v>38</v>
      </c>
      <c r="G12" s="78" t="e">
        <f>SUMIF([1]ENTRADA!D$2:D$3295,D12,[1]ENTRADA!G$2:G$2)</f>
        <v>#VALUE!</v>
      </c>
      <c r="H12" s="78" t="e">
        <f>SUMIF([1]SALIDAS!D$2:D$1371,D12,[1]SALIDAS!G$2:G$2)</f>
        <v>#VALUE!</v>
      </c>
      <c r="I12" s="78" t="e">
        <f t="shared" si="1"/>
        <v>#VALUE!</v>
      </c>
      <c r="J12" s="79" t="e">
        <f t="shared" si="0"/>
        <v>#VALUE!</v>
      </c>
      <c r="K12" s="80">
        <v>700</v>
      </c>
      <c r="L12" s="81">
        <v>500</v>
      </c>
    </row>
    <row r="13" spans="2:12" x14ac:dyDescent="0.25">
      <c r="B13" s="75" t="str">
        <f>LEFT([1]!STOCK[[#This Row],[CODIGO DE BARRAS]],5)</f>
        <v>008B-</v>
      </c>
      <c r="C13" s="30" t="s">
        <v>109</v>
      </c>
      <c r="D13" s="76" t="s">
        <v>16</v>
      </c>
      <c r="E13" s="91"/>
      <c r="F13" s="30">
        <v>168</v>
      </c>
      <c r="G13" s="78" t="e">
        <f>SUMIF([1]ENTRADA!D$2:D$3295,D13,[1]ENTRADA!G$2:G$2)</f>
        <v>#VALUE!</v>
      </c>
      <c r="H13" s="78" t="e">
        <f>SUMIF([1]SALIDAS!D$2:D$1371,D13,[1]SALIDAS!G$2:G$2)</f>
        <v>#VALUE!</v>
      </c>
      <c r="I13" s="78" t="e">
        <f t="shared" si="1"/>
        <v>#VALUE!</v>
      </c>
      <c r="J13" s="79" t="e">
        <f t="shared" si="0"/>
        <v>#VALUE!</v>
      </c>
      <c r="K13" s="80">
        <v>700</v>
      </c>
      <c r="L13" s="81">
        <v>500</v>
      </c>
    </row>
    <row r="14" spans="2:12" x14ac:dyDescent="0.25">
      <c r="B14" s="92" t="str">
        <f>LEFT([1]!STOCK[[#This Row],[CODIGO DE BARRAS]],5)</f>
        <v>078A-</v>
      </c>
      <c r="C14" s="30" t="s">
        <v>110</v>
      </c>
      <c r="D14" s="76" t="s">
        <v>17</v>
      </c>
      <c r="E14" s="93"/>
      <c r="F14" s="30"/>
      <c r="G14" s="78" t="e">
        <f>SUMIF([1]ENTRADA!D$2:D$3295,D14,[1]ENTRADA!G$2:G$2)</f>
        <v>#VALUE!</v>
      </c>
      <c r="H14" s="78" t="e">
        <f>SUMIF([1]SALIDAS!D$2:D$1371,D14,[1]SALIDAS!G$2:G$2)</f>
        <v>#VALUE!</v>
      </c>
      <c r="I14" s="78" t="e">
        <f t="shared" si="1"/>
        <v>#VALUE!</v>
      </c>
      <c r="J14" s="79" t="e">
        <f t="shared" si="0"/>
        <v>#VALUE!</v>
      </c>
      <c r="K14" s="80">
        <v>700</v>
      </c>
      <c r="L14" s="81">
        <v>500</v>
      </c>
    </row>
    <row r="15" spans="2:12" ht="15.75" thickBot="1" x14ac:dyDescent="0.3">
      <c r="B15" s="94" t="str">
        <f>LEFT([1]!STOCK[[#This Row],[CODIGO DE BARRAS]],5)</f>
        <v>010A-</v>
      </c>
      <c r="C15" s="95" t="s">
        <v>111</v>
      </c>
      <c r="D15" s="96" t="s">
        <v>18</v>
      </c>
      <c r="E15" s="97"/>
      <c r="F15" s="30">
        <v>16</v>
      </c>
      <c r="G15" s="78" t="e">
        <f>SUMIF([1]ENTRADA!D$2:D$3295,D15,[1]ENTRADA!G$2:G$2)</f>
        <v>#VALUE!</v>
      </c>
      <c r="H15" s="78" t="e">
        <f>SUMIF([1]SALIDAS!D$2:D$1371,D15,[1]SALIDAS!G$2:G$2)</f>
        <v>#VALUE!</v>
      </c>
      <c r="I15" s="78" t="e">
        <f t="shared" si="1"/>
        <v>#VALUE!</v>
      </c>
      <c r="J15" s="79" t="e">
        <f t="shared" si="0"/>
        <v>#VALUE!</v>
      </c>
      <c r="K15" s="80">
        <v>700</v>
      </c>
      <c r="L15" s="81">
        <v>500</v>
      </c>
    </row>
    <row r="16" spans="2:12" x14ac:dyDescent="0.25">
      <c r="B16" s="98" t="str">
        <f>LEFT([1]!STOCK[[#This Row],[CODIGO DE BARRAS]],5)</f>
        <v>011B-</v>
      </c>
      <c r="C16" s="99" t="s">
        <v>112</v>
      </c>
      <c r="D16" s="100" t="s">
        <v>113</v>
      </c>
      <c r="E16" s="77" t="s">
        <v>0</v>
      </c>
      <c r="F16" s="30">
        <v>643</v>
      </c>
      <c r="G16" s="78" t="e">
        <f>SUMIF([1]ENTRADA!D$2:D$3295,D16,[1]ENTRADA!G$2:G$2)</f>
        <v>#VALUE!</v>
      </c>
      <c r="H16" s="78" t="e">
        <f>SUMIF([1]SALIDAS!D$2:D$1371,D16,[1]SALIDAS!G$2:G$2)</f>
        <v>#VALUE!</v>
      </c>
      <c r="I16" s="78" t="e">
        <f t="shared" si="1"/>
        <v>#VALUE!</v>
      </c>
      <c r="J16" s="79" t="e">
        <f t="shared" si="0"/>
        <v>#VALUE!</v>
      </c>
      <c r="K16" s="80">
        <v>700</v>
      </c>
      <c r="L16" s="81">
        <v>500</v>
      </c>
    </row>
    <row r="17" spans="2:12" x14ac:dyDescent="0.25">
      <c r="B17" s="75" t="s">
        <v>114</v>
      </c>
      <c r="C17" s="30" t="s">
        <v>115</v>
      </c>
      <c r="D17" s="76" t="s">
        <v>259</v>
      </c>
      <c r="E17" s="82"/>
      <c r="F17" s="101">
        <v>608</v>
      </c>
      <c r="G17" s="78" t="e">
        <f>SUMIF([1]ENTRADA!D$2:D$3295,D17,[1]ENTRADA!G$2:G$2)</f>
        <v>#VALUE!</v>
      </c>
      <c r="H17" s="78" t="e">
        <f>SUMIF([1]SALIDAS!D$2:D$1371,D17,[1]SALIDAS!G$2:G$2)</f>
        <v>#VALUE!</v>
      </c>
      <c r="I17" s="78" t="e">
        <f t="shared" si="1"/>
        <v>#VALUE!</v>
      </c>
      <c r="J17" s="102" t="e">
        <f>I17*0.16</f>
        <v>#VALUE!</v>
      </c>
      <c r="K17" s="80">
        <v>700</v>
      </c>
      <c r="L17" s="81">
        <v>500</v>
      </c>
    </row>
    <row r="18" spans="2:12" x14ac:dyDescent="0.25">
      <c r="B18" s="75" t="str">
        <f>LEFT([1]!STOCK[[#This Row],[CODIGO DE BARRAS]],5)</f>
        <v>013B-</v>
      </c>
      <c r="C18" s="30" t="s">
        <v>116</v>
      </c>
      <c r="D18" s="76" t="s">
        <v>260</v>
      </c>
      <c r="E18" s="83"/>
      <c r="F18" s="30">
        <v>312</v>
      </c>
      <c r="G18" s="78" t="e">
        <f>SUMIF([1]ENTRADA!D$2:D$3295,D18,[1]ENTRADA!G$2:G$2)</f>
        <v>#VALUE!</v>
      </c>
      <c r="H18" s="78" t="e">
        <f>SUMIF([1]SALIDAS!D$2:D$1371,D18,[1]SALIDAS!G$2:G$2)</f>
        <v>#VALUE!</v>
      </c>
      <c r="I18" s="78" t="e">
        <f t="shared" si="1"/>
        <v>#VALUE!</v>
      </c>
      <c r="J18" s="79" t="e">
        <f t="shared" si="0"/>
        <v>#VALUE!</v>
      </c>
      <c r="K18" s="80">
        <v>400</v>
      </c>
      <c r="L18" s="81">
        <v>200</v>
      </c>
    </row>
    <row r="19" spans="2:12" x14ac:dyDescent="0.25">
      <c r="B19" s="75" t="str">
        <f>LEFT([1]!STOCK[[#This Row],[CODIGO DE BARRAS]],5)</f>
        <v>014A-</v>
      </c>
      <c r="C19" s="30" t="s">
        <v>117</v>
      </c>
      <c r="D19" s="76" t="s">
        <v>118</v>
      </c>
      <c r="E19" s="103"/>
      <c r="F19" s="30">
        <v>308</v>
      </c>
      <c r="G19" s="78" t="e">
        <f>SUMIF([1]ENTRADA!D$2:D$3295,D19,[1]ENTRADA!G$2:G$2)</f>
        <v>#VALUE!</v>
      </c>
      <c r="H19" s="78" t="e">
        <f>SUMIF([1]SALIDAS!D$2:D$1371,D19,[1]SALIDAS!G$2:G$2)</f>
        <v>#VALUE!</v>
      </c>
      <c r="I19" s="78" t="e">
        <f t="shared" si="1"/>
        <v>#VALUE!</v>
      </c>
      <c r="J19" s="79" t="e">
        <f t="shared" si="0"/>
        <v>#VALUE!</v>
      </c>
      <c r="K19" s="80">
        <v>400</v>
      </c>
      <c r="L19" s="81">
        <v>200</v>
      </c>
    </row>
    <row r="20" spans="2:12" x14ac:dyDescent="0.25">
      <c r="B20" s="75" t="str">
        <f>LEFT([1]!STOCK[[#This Row],[CODIGO DE BARRAS]],5)</f>
        <v>019B-</v>
      </c>
      <c r="C20" s="30" t="s">
        <v>119</v>
      </c>
      <c r="D20" s="76" t="s">
        <v>120</v>
      </c>
      <c r="E20" s="85"/>
      <c r="F20" s="30">
        <v>297</v>
      </c>
      <c r="G20" s="78" t="e">
        <f>SUMIF([1]ENTRADA!D$2:D$3295,D20,[1]ENTRADA!G$2:G$2)</f>
        <v>#VALUE!</v>
      </c>
      <c r="H20" s="78" t="e">
        <f>SUMIF([1]SALIDAS!D$2:D$1371,D20,[1]SALIDAS!G$2:G$2)</f>
        <v>#VALUE!</v>
      </c>
      <c r="I20" s="78" t="e">
        <f t="shared" si="1"/>
        <v>#VALUE!</v>
      </c>
      <c r="J20" s="79" t="e">
        <f t="shared" si="0"/>
        <v>#VALUE!</v>
      </c>
      <c r="K20" s="80">
        <v>400</v>
      </c>
      <c r="L20" s="81">
        <v>200</v>
      </c>
    </row>
    <row r="21" spans="2:12" x14ac:dyDescent="0.25">
      <c r="B21" s="75" t="str">
        <f>LEFT([1]!STOCK[[#This Row],[CODIGO DE BARRAS]],5)</f>
        <v>015B-</v>
      </c>
      <c r="C21" s="30" t="s">
        <v>121</v>
      </c>
      <c r="D21" s="76" t="s">
        <v>122</v>
      </c>
      <c r="E21" s="86"/>
      <c r="F21" s="30">
        <v>325</v>
      </c>
      <c r="G21" s="78" t="e">
        <f>SUMIF([1]ENTRADA!D$2:D$3295,D21,[1]ENTRADA!G$2:G$2)</f>
        <v>#VALUE!</v>
      </c>
      <c r="H21" s="78" t="e">
        <f>SUMIF([1]SALIDAS!D$2:D$1371,D21,[1]SALIDAS!G$2:G$2)</f>
        <v>#VALUE!</v>
      </c>
      <c r="I21" s="78" t="e">
        <f t="shared" si="1"/>
        <v>#VALUE!</v>
      </c>
      <c r="J21" s="79" t="e">
        <f t="shared" si="0"/>
        <v>#VALUE!</v>
      </c>
      <c r="K21" s="80">
        <v>400</v>
      </c>
      <c r="L21" s="81">
        <v>200</v>
      </c>
    </row>
    <row r="22" spans="2:12" x14ac:dyDescent="0.25">
      <c r="B22" s="75" t="str">
        <f>LEFT([1]!STOCK[[#This Row],[CODIGO DE BARRAS]],5)</f>
        <v>076A-</v>
      </c>
      <c r="C22" s="30" t="s">
        <v>123</v>
      </c>
      <c r="D22" s="76" t="s">
        <v>261</v>
      </c>
      <c r="E22" s="87"/>
      <c r="F22" s="30">
        <v>306</v>
      </c>
      <c r="G22" s="78" t="e">
        <f>SUMIF([1]ENTRADA!D$2:D$3295,D22,[1]ENTRADA!G$2:G$2)</f>
        <v>#VALUE!</v>
      </c>
      <c r="H22" s="78" t="e">
        <f>SUMIF([1]SALIDAS!D$2:D$1371,D22,[1]SALIDAS!G$2:G$2)</f>
        <v>#VALUE!</v>
      </c>
      <c r="I22" s="78" t="e">
        <f t="shared" si="1"/>
        <v>#VALUE!</v>
      </c>
      <c r="J22" s="79" t="e">
        <f t="shared" si="0"/>
        <v>#VALUE!</v>
      </c>
      <c r="K22" s="80">
        <v>400</v>
      </c>
      <c r="L22" s="81">
        <v>200</v>
      </c>
    </row>
    <row r="23" spans="2:12" x14ac:dyDescent="0.25">
      <c r="B23" s="75" t="str">
        <f>LEFT([1]!STOCK[[#This Row],[CODIGO DE BARRAS]],5)</f>
        <v>016A-</v>
      </c>
      <c r="C23" s="30" t="s">
        <v>124</v>
      </c>
      <c r="D23" s="76" t="s">
        <v>125</v>
      </c>
      <c r="E23" s="88"/>
      <c r="F23" s="30">
        <v>307</v>
      </c>
      <c r="G23" s="78" t="e">
        <f>SUMIF([1]ENTRADA!D$2:D$3295,D23,[1]ENTRADA!G$2:G$2)</f>
        <v>#VALUE!</v>
      </c>
      <c r="H23" s="78" t="e">
        <f>SUMIF([1]SALIDAS!D$2:D$1371,D23,[1]SALIDAS!G$2:G$2)</f>
        <v>#VALUE!</v>
      </c>
      <c r="I23" s="78" t="e">
        <f t="shared" si="1"/>
        <v>#VALUE!</v>
      </c>
      <c r="J23" s="79" t="e">
        <f>I23*0.16</f>
        <v>#VALUE!</v>
      </c>
      <c r="K23" s="80">
        <v>400</v>
      </c>
      <c r="L23" s="81">
        <v>200</v>
      </c>
    </row>
    <row r="24" spans="2:12" x14ac:dyDescent="0.25">
      <c r="B24" s="75" t="str">
        <f>LEFT([1]!STOCK[[#This Row],[CODIGO DE BARRAS]],5)</f>
        <v>017B-</v>
      </c>
      <c r="C24" s="30" t="s">
        <v>126</v>
      </c>
      <c r="D24" s="76" t="s">
        <v>262</v>
      </c>
      <c r="E24" s="89"/>
      <c r="F24" s="30">
        <v>314</v>
      </c>
      <c r="G24" s="78" t="e">
        <f>SUMIF([1]ENTRADA!D$2:D$3295,D24,[1]ENTRADA!G$2:G$2)</f>
        <v>#VALUE!</v>
      </c>
      <c r="H24" s="78" t="e">
        <f>SUMIF([1]SALIDAS!D$2:D$1371,D24,[1]SALIDAS!G$2:G$2)</f>
        <v>#VALUE!</v>
      </c>
      <c r="I24" s="78" t="e">
        <f t="shared" si="1"/>
        <v>#VALUE!</v>
      </c>
      <c r="J24" s="79" t="e">
        <f t="shared" si="0"/>
        <v>#VALUE!</v>
      </c>
      <c r="K24" s="80">
        <v>400</v>
      </c>
      <c r="L24" s="81">
        <v>200</v>
      </c>
    </row>
    <row r="25" spans="2:12" x14ac:dyDescent="0.25">
      <c r="B25" s="75" t="str">
        <f>LEFT([1]!STOCK[[#This Row],[CODIGO DE BARRAS]],5)</f>
        <v>073A-</v>
      </c>
      <c r="C25" s="30" t="s">
        <v>127</v>
      </c>
      <c r="D25" s="76" t="s">
        <v>263</v>
      </c>
      <c r="E25" s="90"/>
      <c r="F25" s="30">
        <v>320</v>
      </c>
      <c r="G25" s="78" t="e">
        <f>SUMIF([1]ENTRADA!D$2:D$3295,D25,[1]ENTRADA!G$2:G$2)</f>
        <v>#VALUE!</v>
      </c>
      <c r="H25" s="78" t="e">
        <f>SUMIF([1]SALIDAS!D$2:D$1371,D25,[1]SALIDAS!G$2:G$2)</f>
        <v>#VALUE!</v>
      </c>
      <c r="I25" s="78" t="e">
        <f t="shared" si="1"/>
        <v>#VALUE!</v>
      </c>
      <c r="J25" s="79" t="e">
        <f t="shared" si="0"/>
        <v>#VALUE!</v>
      </c>
      <c r="K25" s="80">
        <v>400</v>
      </c>
      <c r="L25" s="81">
        <v>200</v>
      </c>
    </row>
    <row r="26" spans="2:12" x14ac:dyDescent="0.25">
      <c r="B26" s="75" t="str">
        <f>LEFT([1]!STOCK[[#This Row],[CODIGO DE BARRAS]],5)</f>
        <v>018B-</v>
      </c>
      <c r="C26" s="30" t="s">
        <v>128</v>
      </c>
      <c r="D26" s="76" t="s">
        <v>129</v>
      </c>
      <c r="E26" s="91"/>
      <c r="F26" s="30">
        <v>312</v>
      </c>
      <c r="G26" s="78" t="e">
        <f>SUMIF([1]ENTRADA!D$2:D$3295,D26,[1]ENTRADA!G$2:G$2)</f>
        <v>#VALUE!</v>
      </c>
      <c r="H26" s="78" t="e">
        <f>SUMIF([1]SALIDAS!D$2:D$1371,D26,[1]SALIDAS!G$2:G$2)</f>
        <v>#VALUE!</v>
      </c>
      <c r="I26" s="78" t="e">
        <f t="shared" si="1"/>
        <v>#VALUE!</v>
      </c>
      <c r="J26" s="79" t="e">
        <f t="shared" si="0"/>
        <v>#VALUE!</v>
      </c>
      <c r="K26" s="80">
        <v>400</v>
      </c>
      <c r="L26" s="81">
        <v>200</v>
      </c>
    </row>
    <row r="27" spans="2:12" x14ac:dyDescent="0.25">
      <c r="B27" s="75" t="str">
        <f>LEFT([1]!STOCK[[#This Row],[CODIGO DE BARRAS]],5)</f>
        <v>079A-</v>
      </c>
      <c r="C27" s="30" t="s">
        <v>130</v>
      </c>
      <c r="D27" s="76" t="s">
        <v>131</v>
      </c>
      <c r="E27" s="93"/>
      <c r="F27" s="17">
        <v>0</v>
      </c>
      <c r="G27" s="78" t="e">
        <f>SUMIF([1]ENTRADA!D$2:D$3295,D27,[1]ENTRADA!G$2:G$2)</f>
        <v>#VALUE!</v>
      </c>
      <c r="H27" s="78" t="e">
        <f>SUMIF([1]SALIDAS!D$2:D$1371,D27,[1]SALIDAS!G$2:G$2)</f>
        <v>#VALUE!</v>
      </c>
      <c r="I27" s="78" t="e">
        <f t="shared" si="1"/>
        <v>#VALUE!</v>
      </c>
      <c r="J27" s="79" t="e">
        <f t="shared" si="0"/>
        <v>#VALUE!</v>
      </c>
      <c r="K27" s="80">
        <v>400</v>
      </c>
      <c r="L27" s="81">
        <v>200</v>
      </c>
    </row>
    <row r="28" spans="2:12" ht="15.75" thickBot="1" x14ac:dyDescent="0.3">
      <c r="B28" s="104" t="str">
        <f>LEFT([1]!STOCK[[#This Row],[CODIGO DE BARRAS]],5)</f>
        <v>020A-</v>
      </c>
      <c r="C28" s="95" t="s">
        <v>132</v>
      </c>
      <c r="D28" s="96" t="s">
        <v>133</v>
      </c>
      <c r="E28" s="97"/>
      <c r="F28" s="30">
        <v>320</v>
      </c>
      <c r="G28" s="78" t="e">
        <f>SUMIF([1]ENTRADA!D$2:D$3295,D28,[1]ENTRADA!G$2:G$2)</f>
        <v>#VALUE!</v>
      </c>
      <c r="H28" s="78" t="e">
        <f>SUMIF([1]SALIDAS!D$2:D$1371,D28,[1]SALIDAS!G$2:G$2)</f>
        <v>#VALUE!</v>
      </c>
      <c r="I28" s="78" t="e">
        <f t="shared" si="1"/>
        <v>#VALUE!</v>
      </c>
      <c r="J28" s="79" t="e">
        <f t="shared" si="0"/>
        <v>#VALUE!</v>
      </c>
      <c r="K28" s="80">
        <v>400</v>
      </c>
      <c r="L28" s="81">
        <v>200</v>
      </c>
    </row>
    <row r="29" spans="2:12" x14ac:dyDescent="0.25">
      <c r="B29" s="98" t="str">
        <f>LEFT([1]!STOCK[[#This Row],[CODIGO DE BARRAS]],5)</f>
        <v>021B-</v>
      </c>
      <c r="C29" s="99" t="s">
        <v>134</v>
      </c>
      <c r="D29" s="100" t="s">
        <v>135</v>
      </c>
      <c r="E29" s="105" t="s">
        <v>0</v>
      </c>
      <c r="F29" s="30">
        <v>451</v>
      </c>
      <c r="G29" s="78" t="e">
        <f>SUMIF([1]ENTRADA!D$2:D$3295,D29,[1]ENTRADA!G$2:G$2)</f>
        <v>#VALUE!</v>
      </c>
      <c r="H29" s="78" t="e">
        <f>SUMIF([1]SALIDAS!D$2:D$1371,D29,[1]SALIDAS!G$2:G$2)</f>
        <v>#VALUE!</v>
      </c>
      <c r="I29" s="78" t="e">
        <f t="shared" si="1"/>
        <v>#VALUE!</v>
      </c>
      <c r="J29" s="79" t="e">
        <f t="shared" si="0"/>
        <v>#VALUE!</v>
      </c>
      <c r="K29" s="80">
        <v>700</v>
      </c>
      <c r="L29" s="81">
        <v>500</v>
      </c>
    </row>
    <row r="30" spans="2:12" x14ac:dyDescent="0.25">
      <c r="B30" s="75" t="str">
        <f>LEFT([1]!STOCK[[#This Row],[CODIGO DE BARRAS]],5)</f>
        <v>022B-</v>
      </c>
      <c r="C30" s="30" t="s">
        <v>136</v>
      </c>
      <c r="D30" s="76" t="s">
        <v>264</v>
      </c>
      <c r="E30" s="82"/>
      <c r="F30" s="30">
        <v>324</v>
      </c>
      <c r="G30" s="78" t="e">
        <f>SUMIF([1]ENTRADA!D$2:D$3295,D30,[1]ENTRADA!G$2:G$2)</f>
        <v>#VALUE!</v>
      </c>
      <c r="H30" s="78" t="e">
        <f>SUMIF([1]SALIDAS!D$2:D$1371,D30,[1]SALIDAS!G$2:G$2)</f>
        <v>#VALUE!</v>
      </c>
      <c r="I30" s="78" t="e">
        <f t="shared" si="1"/>
        <v>#VALUE!</v>
      </c>
      <c r="J30" s="79" t="e">
        <f t="shared" si="0"/>
        <v>#VALUE!</v>
      </c>
      <c r="K30" s="80">
        <v>700</v>
      </c>
      <c r="L30" s="81">
        <v>500</v>
      </c>
    </row>
    <row r="31" spans="2:12" x14ac:dyDescent="0.25">
      <c r="B31" s="75" t="str">
        <f>LEFT([1]!STOCK[[#This Row],[CODIGO DE BARRAS]],5)</f>
        <v>023B-</v>
      </c>
      <c r="C31" s="30" t="s">
        <v>137</v>
      </c>
      <c r="D31" s="76" t="s">
        <v>265</v>
      </c>
      <c r="E31" s="83"/>
      <c r="F31" s="30">
        <v>256</v>
      </c>
      <c r="G31" s="78" t="e">
        <f>SUMIF([1]ENTRADA!D$2:D$3295,D31,[1]ENTRADA!G$2:G$2)</f>
        <v>#VALUE!</v>
      </c>
      <c r="H31" s="78" t="e">
        <f>SUMIF([1]SALIDAS!D$2:D$1371,D31,[1]SALIDAS!G$2:G$2)</f>
        <v>#VALUE!</v>
      </c>
      <c r="I31" s="78" t="e">
        <f t="shared" si="1"/>
        <v>#VALUE!</v>
      </c>
      <c r="J31" s="79" t="e">
        <f t="shared" si="0"/>
        <v>#VALUE!</v>
      </c>
      <c r="K31" s="80">
        <v>500</v>
      </c>
      <c r="L31" s="81">
        <v>300</v>
      </c>
    </row>
    <row r="32" spans="2:12" x14ac:dyDescent="0.25">
      <c r="B32" s="75" t="str">
        <f>LEFT([1]!STOCK[[#This Row],[CODIGO DE BARRAS]],5)</f>
        <v>024A-</v>
      </c>
      <c r="C32" s="30" t="s">
        <v>138</v>
      </c>
      <c r="D32" s="76" t="s">
        <v>139</v>
      </c>
      <c r="E32" s="84"/>
      <c r="F32" s="30">
        <v>161</v>
      </c>
      <c r="G32" s="78" t="e">
        <f>SUMIF([1]ENTRADA!D$2:D$3295,D32,[1]ENTRADA!G$2:G$2)</f>
        <v>#VALUE!</v>
      </c>
      <c r="H32" s="78" t="e">
        <f>SUMIF([1]SALIDAS!D$2:D$1371,D32,[1]SALIDAS!G$2:G$2)</f>
        <v>#VALUE!</v>
      </c>
      <c r="I32" s="78" t="e">
        <f t="shared" si="1"/>
        <v>#VALUE!</v>
      </c>
      <c r="J32" s="79" t="e">
        <f t="shared" si="0"/>
        <v>#VALUE!</v>
      </c>
      <c r="K32" s="80">
        <v>300</v>
      </c>
      <c r="L32" s="81">
        <v>100</v>
      </c>
    </row>
    <row r="33" spans="2:12" x14ac:dyDescent="0.25">
      <c r="B33" s="75" t="str">
        <f>LEFT([1]!STOCK[[#This Row],[CODIGO DE BARRAS]],5)</f>
        <v>029B-</v>
      </c>
      <c r="C33" s="30" t="s">
        <v>140</v>
      </c>
      <c r="D33" s="76" t="s">
        <v>141</v>
      </c>
      <c r="E33" s="85"/>
      <c r="F33" s="30">
        <v>96</v>
      </c>
      <c r="G33" s="78" t="e">
        <f>SUMIF([1]ENTRADA!D$2:D$3295,D33,[1]ENTRADA!G$2:G$2)</f>
        <v>#VALUE!</v>
      </c>
      <c r="H33" s="78" t="e">
        <f>SUMIF([1]SALIDAS!D$2:D$1371,D33,[1]SALIDAS!G$2:G$2)</f>
        <v>#VALUE!</v>
      </c>
      <c r="I33" s="78" t="e">
        <f t="shared" si="1"/>
        <v>#VALUE!</v>
      </c>
      <c r="J33" s="79" t="e">
        <f t="shared" si="0"/>
        <v>#VALUE!</v>
      </c>
      <c r="K33" s="80">
        <v>300</v>
      </c>
      <c r="L33" s="81">
        <v>100</v>
      </c>
    </row>
    <row r="34" spans="2:12" x14ac:dyDescent="0.25">
      <c r="B34" s="75" t="str">
        <f>LEFT([1]!STOCK[[#This Row],[CODIGO DE BARRAS]],5)</f>
        <v>025B-</v>
      </c>
      <c r="C34" s="30" t="s">
        <v>142</v>
      </c>
      <c r="D34" s="76" t="s">
        <v>143</v>
      </c>
      <c r="E34" s="86"/>
      <c r="F34" s="30">
        <v>99</v>
      </c>
      <c r="G34" s="78" t="e">
        <f>SUMIF([1]ENTRADA!D$2:D$3295,D34,[1]ENTRADA!G$2:G$2)</f>
        <v>#VALUE!</v>
      </c>
      <c r="H34" s="78" t="e">
        <f>SUMIF([1]SALIDAS!D$2:D$1371,D34,[1]SALIDAS!G$2:G$2)</f>
        <v>#VALUE!</v>
      </c>
      <c r="I34" s="78" t="e">
        <f t="shared" si="1"/>
        <v>#VALUE!</v>
      </c>
      <c r="J34" s="79" t="e">
        <f t="shared" si="0"/>
        <v>#VALUE!</v>
      </c>
      <c r="K34" s="80">
        <v>300</v>
      </c>
      <c r="L34" s="81">
        <v>100</v>
      </c>
    </row>
    <row r="35" spans="2:12" x14ac:dyDescent="0.25">
      <c r="B35" s="75" t="str">
        <f>LEFT([1]!STOCK[[#This Row],[CODIGO DE BARRAS]],5)</f>
        <v>077A-</v>
      </c>
      <c r="C35" s="30" t="s">
        <v>144</v>
      </c>
      <c r="D35" s="76" t="s">
        <v>266</v>
      </c>
      <c r="E35" s="87"/>
      <c r="F35" s="30">
        <v>240</v>
      </c>
      <c r="G35" s="78" t="e">
        <f>SUMIF([1]ENTRADA!D$2:D$3295,D35,[1]ENTRADA!G$2:G$2)</f>
        <v>#VALUE!</v>
      </c>
      <c r="H35" s="78" t="e">
        <f>SUMIF([1]SALIDAS!D$2:D$1371,D35,[1]SALIDAS!G$2:G$2)</f>
        <v>#VALUE!</v>
      </c>
      <c r="I35" s="78" t="e">
        <f t="shared" si="1"/>
        <v>#VALUE!</v>
      </c>
      <c r="J35" s="79" t="e">
        <f t="shared" si="0"/>
        <v>#VALUE!</v>
      </c>
      <c r="K35" s="80">
        <v>300</v>
      </c>
      <c r="L35" s="81">
        <v>100</v>
      </c>
    </row>
    <row r="36" spans="2:12" x14ac:dyDescent="0.25">
      <c r="B36" s="75" t="str">
        <f>LEFT([1]!STOCK[[#This Row],[CODIGO DE BARRAS]],5)</f>
        <v>026A-</v>
      </c>
      <c r="C36" s="30" t="s">
        <v>145</v>
      </c>
      <c r="D36" s="76" t="s">
        <v>146</v>
      </c>
      <c r="E36" s="88"/>
      <c r="F36" s="30">
        <v>160</v>
      </c>
      <c r="G36" s="78" t="e">
        <f>SUMIF([1]ENTRADA!D$2:D$3295,D36,[1]ENTRADA!G$2:G$2)</f>
        <v>#VALUE!</v>
      </c>
      <c r="H36" s="78" t="e">
        <f>SUMIF([1]SALIDAS!D$2:D$1371,D36,[1]SALIDAS!G$2:G$2)</f>
        <v>#VALUE!</v>
      </c>
      <c r="I36" s="78" t="e">
        <f t="shared" si="1"/>
        <v>#VALUE!</v>
      </c>
      <c r="J36" s="79" t="e">
        <f t="shared" si="0"/>
        <v>#VALUE!</v>
      </c>
      <c r="K36" s="80">
        <v>300</v>
      </c>
      <c r="L36" s="81">
        <v>100</v>
      </c>
    </row>
    <row r="37" spans="2:12" x14ac:dyDescent="0.25">
      <c r="B37" s="75" t="str">
        <f>LEFT([1]!STOCK[[#This Row],[CODIGO DE BARRAS]],5)</f>
        <v>027B-</v>
      </c>
      <c r="C37" s="30" t="s">
        <v>147</v>
      </c>
      <c r="D37" s="76" t="s">
        <v>267</v>
      </c>
      <c r="E37" s="89"/>
      <c r="F37" s="30">
        <v>150</v>
      </c>
      <c r="G37" s="78" t="e">
        <f>SUMIF([1]ENTRADA!D$2:D$3295,D37,[1]ENTRADA!G$2:G$2)</f>
        <v>#VALUE!</v>
      </c>
      <c r="H37" s="78" t="e">
        <f>SUMIF([1]SALIDAS!D$2:D$1371,D37,[1]SALIDAS!G$2:G$2)</f>
        <v>#VALUE!</v>
      </c>
      <c r="I37" s="78" t="e">
        <f t="shared" si="1"/>
        <v>#VALUE!</v>
      </c>
      <c r="J37" s="79" t="e">
        <f t="shared" si="0"/>
        <v>#VALUE!</v>
      </c>
      <c r="K37" s="80">
        <v>300</v>
      </c>
      <c r="L37" s="81">
        <v>100</v>
      </c>
    </row>
    <row r="38" spans="2:12" x14ac:dyDescent="0.25">
      <c r="B38" s="75" t="str">
        <f>LEFT([1]!STOCK[[#This Row],[CODIGO DE BARRAS]],5)</f>
        <v>074A-</v>
      </c>
      <c r="C38" s="30" t="s">
        <v>148</v>
      </c>
      <c r="D38" s="76" t="s">
        <v>268</v>
      </c>
      <c r="E38" s="90"/>
      <c r="F38" s="30">
        <v>194</v>
      </c>
      <c r="G38" s="78" t="e">
        <f>SUMIF([1]ENTRADA!D$2:D$3295,D38,[1]ENTRADA!G$2:G$2)</f>
        <v>#VALUE!</v>
      </c>
      <c r="H38" s="78" t="e">
        <f>SUMIF([1]SALIDAS!D$2:D$1371,D38,[1]SALIDAS!G$2:G$2)</f>
        <v>#VALUE!</v>
      </c>
      <c r="I38" s="78" t="e">
        <f t="shared" si="1"/>
        <v>#VALUE!</v>
      </c>
      <c r="J38" s="79" t="e">
        <f t="shared" si="0"/>
        <v>#VALUE!</v>
      </c>
      <c r="K38" s="80">
        <v>300</v>
      </c>
      <c r="L38" s="81">
        <v>100</v>
      </c>
    </row>
    <row r="39" spans="2:12" x14ac:dyDescent="0.25">
      <c r="B39" s="75" t="str">
        <f>LEFT([1]!STOCK[[#This Row],[CODIGO DE BARRAS]],5)</f>
        <v>028B-</v>
      </c>
      <c r="C39" s="30" t="s">
        <v>149</v>
      </c>
      <c r="D39" s="76" t="s">
        <v>150</v>
      </c>
      <c r="E39" s="91"/>
      <c r="F39" s="30">
        <v>142</v>
      </c>
      <c r="G39" s="78" t="e">
        <f>SUMIF([1]ENTRADA!D$2:D$3295,D39,[1]ENTRADA!G$2:G$2)</f>
        <v>#VALUE!</v>
      </c>
      <c r="H39" s="78" t="e">
        <f>SUMIF([1]SALIDAS!D$2:D$1371,D39,[1]SALIDAS!G$2:G$2)</f>
        <v>#VALUE!</v>
      </c>
      <c r="I39" s="78" t="e">
        <f t="shared" si="1"/>
        <v>#VALUE!</v>
      </c>
      <c r="J39" s="79" t="e">
        <f t="shared" si="0"/>
        <v>#VALUE!</v>
      </c>
      <c r="K39" s="80">
        <v>300</v>
      </c>
      <c r="L39" s="81">
        <v>100</v>
      </c>
    </row>
    <row r="40" spans="2:12" x14ac:dyDescent="0.25">
      <c r="B40" s="75" t="str">
        <f>LEFT([1]!STOCK[[#This Row],[CODIGO DE BARRAS]],5)</f>
        <v>080A-</v>
      </c>
      <c r="C40" s="30" t="s">
        <v>151</v>
      </c>
      <c r="D40" s="76" t="s">
        <v>152</v>
      </c>
      <c r="E40" s="93"/>
      <c r="F40" s="30">
        <v>108</v>
      </c>
      <c r="G40" s="78" t="e">
        <f>SUMIF([1]ENTRADA!D$2:D$3295,D40,[1]ENTRADA!G$2:G$2)</f>
        <v>#VALUE!</v>
      </c>
      <c r="H40" s="78" t="e">
        <f>SUMIF([1]SALIDAS!D$2:D$1371,D40,[1]SALIDAS!G$2:G$2)</f>
        <v>#VALUE!</v>
      </c>
      <c r="I40" s="78" t="e">
        <f t="shared" si="1"/>
        <v>#VALUE!</v>
      </c>
      <c r="J40" s="79" t="e">
        <f t="shared" si="0"/>
        <v>#VALUE!</v>
      </c>
      <c r="K40" s="80">
        <v>300</v>
      </c>
      <c r="L40" s="81">
        <v>100</v>
      </c>
    </row>
    <row r="41" spans="2:12" ht="15.75" thickBot="1" x14ac:dyDescent="0.3">
      <c r="B41" s="104" t="str">
        <f>LEFT([1]!STOCK[[#This Row],[CODIGO DE BARRAS]],5)</f>
        <v>030A-</v>
      </c>
      <c r="C41" s="95" t="s">
        <v>153</v>
      </c>
      <c r="D41" s="96" t="s">
        <v>154</v>
      </c>
      <c r="E41" s="97"/>
      <c r="F41" s="30">
        <v>94</v>
      </c>
      <c r="G41" s="78" t="e">
        <f>SUMIF([1]ENTRADA!D$2:D$3295,D41,[1]ENTRADA!G$2:G$2)</f>
        <v>#VALUE!</v>
      </c>
      <c r="H41" s="78" t="e">
        <f>SUMIF([1]SALIDAS!D$2:D$1371,D41,[1]SALIDAS!G$2:G$2)</f>
        <v>#VALUE!</v>
      </c>
      <c r="I41" s="78" t="e">
        <f t="shared" si="1"/>
        <v>#VALUE!</v>
      </c>
      <c r="J41" s="79" t="e">
        <f t="shared" si="0"/>
        <v>#VALUE!</v>
      </c>
      <c r="K41" s="80">
        <v>300</v>
      </c>
      <c r="L41" s="81">
        <v>100</v>
      </c>
    </row>
    <row r="42" spans="2:12" x14ac:dyDescent="0.25">
      <c r="B42" s="98" t="str">
        <f>LEFT([1]!STOCK[[#This Row],[CODIGO DE BARRAS]],5)</f>
        <v>031B-</v>
      </c>
      <c r="C42" s="99" t="s">
        <v>155</v>
      </c>
      <c r="D42" s="100" t="s">
        <v>156</v>
      </c>
      <c r="E42" s="106" t="s">
        <v>0</v>
      </c>
      <c r="F42" s="30">
        <v>230</v>
      </c>
      <c r="G42" s="78" t="e">
        <f>SUMIF([1]ENTRADA!D$2:D$3295,D42,[1]ENTRADA!G$2:G$2)</f>
        <v>#VALUE!</v>
      </c>
      <c r="H42" s="78" t="e">
        <f>SUMIF([1]SALIDAS!D$2:D$1371,D42,[1]SALIDAS!G$2:G$2)</f>
        <v>#VALUE!</v>
      </c>
      <c r="I42" s="78" t="e">
        <f t="shared" si="1"/>
        <v>#VALUE!</v>
      </c>
      <c r="J42" s="79" t="e">
        <f t="shared" si="0"/>
        <v>#VALUE!</v>
      </c>
      <c r="K42" s="80">
        <v>2000</v>
      </c>
      <c r="L42" s="81">
        <v>1500</v>
      </c>
    </row>
    <row r="43" spans="2:12" x14ac:dyDescent="0.25">
      <c r="B43" s="75" t="str">
        <f>LEFT([1]!STOCK[[#This Row],[CODIGO DE BARRAS]],5)</f>
        <v>032B-</v>
      </c>
      <c r="C43" s="30" t="s">
        <v>157</v>
      </c>
      <c r="D43" s="76" t="s">
        <v>158</v>
      </c>
      <c r="E43" s="77"/>
      <c r="F43" s="30">
        <v>102</v>
      </c>
      <c r="G43" s="78" t="e">
        <f>SUMIF([1]ENTRADA!D$2:D$3295,D43,[1]ENTRADA!G$2:G$2)</f>
        <v>#VALUE!</v>
      </c>
      <c r="H43" s="78" t="e">
        <f>SUMIF([1]SALIDAS!D$2:D$1371,D43,[1]SALIDAS!G$2:G$2)</f>
        <v>#VALUE!</v>
      </c>
      <c r="I43" s="78" t="e">
        <f t="shared" si="1"/>
        <v>#VALUE!</v>
      </c>
      <c r="J43" s="79" t="e">
        <f t="shared" si="0"/>
        <v>#VALUE!</v>
      </c>
      <c r="K43" s="80">
        <v>2000</v>
      </c>
      <c r="L43" s="81">
        <v>1500</v>
      </c>
    </row>
    <row r="44" spans="2:12" x14ac:dyDescent="0.25">
      <c r="B44" s="75" t="str">
        <f>LEFT([1]!STOCK[[#This Row],[CODIGO DE BARRAS]],5)</f>
        <v>033B-</v>
      </c>
      <c r="C44" s="30" t="s">
        <v>159</v>
      </c>
      <c r="D44" s="76" t="s">
        <v>269</v>
      </c>
      <c r="E44" s="82"/>
      <c r="F44" s="30">
        <v>0</v>
      </c>
      <c r="G44" s="78" t="e">
        <f>SUMIF([1]ENTRADA!D$2:D$3295,D44,[1]ENTRADA!G$2:G$2)</f>
        <v>#VALUE!</v>
      </c>
      <c r="H44" s="78" t="e">
        <f>SUMIF([1]SALIDAS!D$2:D$1371,D44,[1]SALIDAS!G$2:G$2)</f>
        <v>#VALUE!</v>
      </c>
      <c r="I44" s="78" t="e">
        <f t="shared" si="1"/>
        <v>#VALUE!</v>
      </c>
      <c r="J44" s="79" t="e">
        <f t="shared" si="0"/>
        <v>#VALUE!</v>
      </c>
      <c r="K44" s="80">
        <v>2000</v>
      </c>
      <c r="L44" s="81">
        <v>1500</v>
      </c>
    </row>
    <row r="45" spans="2:12" x14ac:dyDescent="0.25">
      <c r="B45" s="75" t="str">
        <f>LEFT([1]!STOCK[[#This Row],[CODIGO DE BARRAS]],5)</f>
        <v>034B-</v>
      </c>
      <c r="C45" s="30" t="s">
        <v>160</v>
      </c>
      <c r="D45" s="76" t="s">
        <v>270</v>
      </c>
      <c r="E45" s="82"/>
      <c r="F45" s="30">
        <v>143</v>
      </c>
      <c r="G45" s="78" t="e">
        <f>SUMIF([1]ENTRADA!D$2:D$3295,D45,[1]ENTRADA!G$2:G$2)</f>
        <v>#VALUE!</v>
      </c>
      <c r="H45" s="78" t="e">
        <f>SUMIF([1]SALIDAS!D$2:D$1371,D45,[1]SALIDAS!G$2:G$2)</f>
        <v>#VALUE!</v>
      </c>
      <c r="I45" s="78" t="e">
        <f t="shared" si="1"/>
        <v>#VALUE!</v>
      </c>
      <c r="J45" s="79" t="e">
        <f t="shared" si="0"/>
        <v>#VALUE!</v>
      </c>
      <c r="K45" s="80">
        <v>2000</v>
      </c>
      <c r="L45" s="81">
        <v>1500</v>
      </c>
    </row>
    <row r="46" spans="2:12" x14ac:dyDescent="0.25">
      <c r="B46" s="75" t="str">
        <f>LEFT([1]!STOCK[[#This Row],[CODIGO DE BARRAS]],5)</f>
        <v>035B-</v>
      </c>
      <c r="C46" s="30" t="s">
        <v>161</v>
      </c>
      <c r="D46" s="76" t="s">
        <v>271</v>
      </c>
      <c r="E46" s="83"/>
      <c r="F46" s="30">
        <v>73</v>
      </c>
      <c r="G46" s="78" t="e">
        <f>SUMIF([1]ENTRADA!D$2:D$3295,D46,[1]ENTRADA!G$2:G$2)</f>
        <v>#VALUE!</v>
      </c>
      <c r="H46" s="78" t="e">
        <f>SUMIF([1]SALIDAS!D$2:D$1371,D46,[1]SALIDAS!G$2:G$2)</f>
        <v>#VALUE!</v>
      </c>
      <c r="I46" s="78" t="e">
        <f t="shared" si="1"/>
        <v>#VALUE!</v>
      </c>
      <c r="J46" s="79" t="e">
        <f t="shared" si="0"/>
        <v>#VALUE!</v>
      </c>
      <c r="K46" s="80">
        <v>2000</v>
      </c>
      <c r="L46" s="81">
        <v>1500</v>
      </c>
    </row>
    <row r="47" spans="2:12" x14ac:dyDescent="0.25">
      <c r="B47" s="75" t="str">
        <f>LEFT([1]!STOCK[[#This Row],[CODIGO DE BARRAS]],5)</f>
        <v>036B-</v>
      </c>
      <c r="C47" s="30" t="s">
        <v>162</v>
      </c>
      <c r="D47" s="76" t="s">
        <v>272</v>
      </c>
      <c r="E47" s="83"/>
      <c r="F47" s="30">
        <v>150</v>
      </c>
      <c r="G47" s="78" t="e">
        <f>SUMIF([1]ENTRADA!D$2:D$3295,D47,[1]ENTRADA!G$2:G$2)</f>
        <v>#VALUE!</v>
      </c>
      <c r="H47" s="78" t="e">
        <f>SUMIF([1]SALIDAS!D$2:D$1371,D47,[1]SALIDAS!G$2:G$2)</f>
        <v>#VALUE!</v>
      </c>
      <c r="I47" s="78" t="e">
        <f t="shared" si="1"/>
        <v>#VALUE!</v>
      </c>
      <c r="J47" s="79" t="e">
        <f t="shared" si="0"/>
        <v>#VALUE!</v>
      </c>
      <c r="K47" s="80">
        <v>2000</v>
      </c>
      <c r="L47" s="81">
        <v>1500</v>
      </c>
    </row>
    <row r="48" spans="2:12" x14ac:dyDescent="0.25">
      <c r="B48" s="75" t="str">
        <f>LEFT([1]!STOCK[[#This Row],[CODIGO DE BARRAS]],5)</f>
        <v>083A-</v>
      </c>
      <c r="C48" s="30" t="s">
        <v>163</v>
      </c>
      <c r="D48" s="76" t="s">
        <v>164</v>
      </c>
      <c r="E48" s="103"/>
      <c r="F48" s="30">
        <v>0</v>
      </c>
      <c r="G48" s="78" t="e">
        <f>SUMIF([1]ENTRADA!D$2:D$3295,D48,[1]ENTRADA!G$2:G$2)</f>
        <v>#VALUE!</v>
      </c>
      <c r="H48" s="78" t="e">
        <f>SUMIF([1]SALIDAS!D$2:D$1371,D48,[1]SALIDAS!G$2:G$2)</f>
        <v>#VALUE!</v>
      </c>
      <c r="I48" s="78" t="e">
        <f t="shared" si="1"/>
        <v>#VALUE!</v>
      </c>
      <c r="J48" s="79" t="e">
        <f t="shared" si="0"/>
        <v>#VALUE!</v>
      </c>
      <c r="K48" s="80">
        <v>500</v>
      </c>
      <c r="L48" s="81">
        <v>300</v>
      </c>
    </row>
    <row r="49" spans="2:12" x14ac:dyDescent="0.25">
      <c r="B49" s="92" t="str">
        <f>LEFT([1]!STOCK[[#This Row],[CODIGO DE BARRAS]],5)</f>
        <v>084A-</v>
      </c>
      <c r="C49" s="30" t="s">
        <v>165</v>
      </c>
      <c r="D49" s="76" t="s">
        <v>166</v>
      </c>
      <c r="E49" s="103"/>
      <c r="F49" s="30">
        <v>84</v>
      </c>
      <c r="G49" s="78" t="e">
        <f>SUMIF([1]ENTRADA!D$2:D$3295,D49,[1]ENTRADA!G$2:G$2)</f>
        <v>#VALUE!</v>
      </c>
      <c r="H49" s="78" t="e">
        <f>SUMIF([1]SALIDAS!D$2:D$1371,D49,[1]SALIDAS!G$2:G$2)</f>
        <v>#VALUE!</v>
      </c>
      <c r="I49" s="78" t="e">
        <f t="shared" si="1"/>
        <v>#VALUE!</v>
      </c>
      <c r="J49" s="79" t="e">
        <f t="shared" si="0"/>
        <v>#VALUE!</v>
      </c>
      <c r="K49" s="80">
        <v>500</v>
      </c>
      <c r="L49" s="81">
        <v>300</v>
      </c>
    </row>
    <row r="50" spans="2:12" x14ac:dyDescent="0.25">
      <c r="B50" s="92" t="str">
        <f>LEFT([1]!STOCK[[#This Row],[CODIGO DE BARRAS]],5)</f>
        <v>081B-</v>
      </c>
      <c r="C50" s="30" t="s">
        <v>167</v>
      </c>
      <c r="D50" s="76" t="s">
        <v>168</v>
      </c>
      <c r="E50" s="85"/>
      <c r="F50" s="30">
        <v>0</v>
      </c>
      <c r="G50" s="78" t="e">
        <f>SUMIF([1]ENTRADA!D$2:D$3295,D50,[1]ENTRADA!G$2:G$2)</f>
        <v>#VALUE!</v>
      </c>
      <c r="H50" s="78" t="e">
        <f>SUMIF([1]SALIDAS!D$2:D$1371,D50,[1]SALIDAS!G$2:G$2)</f>
        <v>#VALUE!</v>
      </c>
      <c r="I50" s="78" t="e">
        <f t="shared" si="1"/>
        <v>#VALUE!</v>
      </c>
      <c r="J50" s="79" t="e">
        <f t="shared" si="0"/>
        <v>#VALUE!</v>
      </c>
      <c r="K50" s="80">
        <v>500</v>
      </c>
      <c r="L50" s="81">
        <v>300</v>
      </c>
    </row>
    <row r="51" spans="2:12" x14ac:dyDescent="0.25">
      <c r="B51" s="92" t="str">
        <f>LEFT([1]!STOCK[[#This Row],[CODIGO DE BARRAS]],5)</f>
        <v>082B-</v>
      </c>
      <c r="C51" s="30" t="s">
        <v>169</v>
      </c>
      <c r="D51" s="76" t="s">
        <v>170</v>
      </c>
      <c r="E51" s="85"/>
      <c r="F51" s="30">
        <v>81</v>
      </c>
      <c r="G51" s="78" t="e">
        <f>SUMIF([1]ENTRADA!D$2:D$3295,D51,[1]ENTRADA!G$2:G$2)</f>
        <v>#VALUE!</v>
      </c>
      <c r="H51" s="78" t="e">
        <f>SUMIF([1]SALIDAS!D$2:D$1371,D51,[1]SALIDAS!G$2:G$2)</f>
        <v>#VALUE!</v>
      </c>
      <c r="I51" s="78" t="e">
        <f t="shared" si="1"/>
        <v>#VALUE!</v>
      </c>
      <c r="J51" s="79" t="e">
        <f t="shared" si="0"/>
        <v>#VALUE!</v>
      </c>
      <c r="K51" s="80">
        <v>500</v>
      </c>
      <c r="L51" s="81">
        <v>300</v>
      </c>
    </row>
    <row r="52" spans="2:12" x14ac:dyDescent="0.25">
      <c r="B52" s="92" t="str">
        <f>LEFT([1]!STOCK[[#This Row],[CODIGO DE BARRAS]],5)</f>
        <v>045B-</v>
      </c>
      <c r="C52" s="30" t="s">
        <v>171</v>
      </c>
      <c r="D52" s="76" t="s">
        <v>172</v>
      </c>
      <c r="E52" s="86"/>
      <c r="F52" s="17">
        <v>41</v>
      </c>
      <c r="G52" s="78" t="e">
        <f>SUMIF([1]ENTRADA!D$2:D$3295,D52,[1]ENTRADA!G$2:G$2)</f>
        <v>#VALUE!</v>
      </c>
      <c r="H52" s="78" t="e">
        <f>SUMIF([1]SALIDAS!D$2:D$1371,D52,[1]SALIDAS!G$2:G$2)</f>
        <v>#VALUE!</v>
      </c>
      <c r="I52" s="78" t="e">
        <f t="shared" si="1"/>
        <v>#VALUE!</v>
      </c>
      <c r="J52" s="79" t="e">
        <f t="shared" si="0"/>
        <v>#VALUE!</v>
      </c>
      <c r="K52" s="80">
        <v>500</v>
      </c>
      <c r="L52" s="81">
        <v>500</v>
      </c>
    </row>
    <row r="53" spans="2:12" x14ac:dyDescent="0.25">
      <c r="B53" s="75" t="str">
        <f>LEFT([1]!STOCK[[#This Row],[CODIGO DE BARRAS]],5)</f>
        <v>046B-</v>
      </c>
      <c r="C53" s="30" t="s">
        <v>173</v>
      </c>
      <c r="D53" s="76" t="s">
        <v>174</v>
      </c>
      <c r="E53" s="86"/>
      <c r="F53" s="30">
        <v>292</v>
      </c>
      <c r="G53" s="78" t="e">
        <f>SUMIF([1]ENTRADA!D$2:D$3295,D53,[1]ENTRADA!G$2:G$2)</f>
        <v>#VALUE!</v>
      </c>
      <c r="H53" s="78" t="e">
        <f>SUMIF([1]SALIDAS!D$2:D$1371,D53,[1]SALIDAS!G$2:G$2)</f>
        <v>#VALUE!</v>
      </c>
      <c r="I53" s="78" t="e">
        <f t="shared" si="1"/>
        <v>#VALUE!</v>
      </c>
      <c r="J53" s="79" t="e">
        <f t="shared" si="0"/>
        <v>#VALUE!</v>
      </c>
      <c r="K53" s="80">
        <v>500</v>
      </c>
      <c r="L53" s="81">
        <v>500</v>
      </c>
    </row>
    <row r="54" spans="2:12" x14ac:dyDescent="0.25">
      <c r="B54" s="75" t="str">
        <f>LEFT([1]!STOCK[[#This Row],[CODIGO DE BARRAS]],5)</f>
        <v>037A-</v>
      </c>
      <c r="C54" s="30" t="s">
        <v>175</v>
      </c>
      <c r="D54" s="76" t="s">
        <v>176</v>
      </c>
      <c r="E54" s="107"/>
      <c r="F54" s="30">
        <v>0</v>
      </c>
      <c r="G54" s="78" t="e">
        <f>SUMIF([1]ENTRADA!D$2:D$3295,D54,[1]ENTRADA!G$2:G$2)</f>
        <v>#VALUE!</v>
      </c>
      <c r="H54" s="78" t="e">
        <f>SUMIF([1]SALIDAS!D$2:D$1371,D54,[1]SALIDAS!G$2:G$2)</f>
        <v>#VALUE!</v>
      </c>
      <c r="I54" s="78" t="e">
        <f t="shared" si="1"/>
        <v>#VALUE!</v>
      </c>
      <c r="J54" s="79" t="e">
        <f t="shared" si="0"/>
        <v>#VALUE!</v>
      </c>
      <c r="K54" s="80">
        <v>500</v>
      </c>
      <c r="L54" s="81">
        <v>500</v>
      </c>
    </row>
    <row r="55" spans="2:12" x14ac:dyDescent="0.25">
      <c r="B55" s="75" t="str">
        <f>LEFT([1]!STOCK[[#This Row],[CODIGO DE BARRAS]],5)</f>
        <v>038A-</v>
      </c>
      <c r="C55" s="30" t="s">
        <v>177</v>
      </c>
      <c r="D55" s="76" t="s">
        <v>178</v>
      </c>
      <c r="E55" s="87"/>
      <c r="F55" s="30">
        <v>83</v>
      </c>
      <c r="G55" s="78" t="e">
        <f>SUMIF([1]ENTRADA!D$2:D$3295,D55,[1]ENTRADA!G$2:G$2)</f>
        <v>#VALUE!</v>
      </c>
      <c r="H55" s="78" t="e">
        <f>SUMIF([1]SALIDAS!D$2:D$1371,D55,[1]SALIDAS!G$2:G$2)</f>
        <v>#VALUE!</v>
      </c>
      <c r="I55" s="78" t="e">
        <f t="shared" si="1"/>
        <v>#VALUE!</v>
      </c>
      <c r="J55" s="79" t="e">
        <f t="shared" si="0"/>
        <v>#VALUE!</v>
      </c>
      <c r="K55" s="80">
        <v>500</v>
      </c>
      <c r="L55" s="81">
        <v>500</v>
      </c>
    </row>
    <row r="56" spans="2:12" x14ac:dyDescent="0.25">
      <c r="B56" s="75" t="str">
        <f>LEFT([1]!STOCK[[#This Row],[CODIGO DE BARRAS]],5)</f>
        <v>039A-</v>
      </c>
      <c r="C56" s="30" t="s">
        <v>179</v>
      </c>
      <c r="D56" s="76" t="s">
        <v>180</v>
      </c>
      <c r="E56" s="88"/>
      <c r="F56" s="30">
        <v>12</v>
      </c>
      <c r="G56" s="78" t="e">
        <f>SUMIF([1]ENTRADA!D$2:D$3295,D56,[1]ENTRADA!G$2:G$2)</f>
        <v>#VALUE!</v>
      </c>
      <c r="H56" s="78" t="e">
        <f>SUMIF([1]SALIDAS!D$2:D$1371,D56,[1]SALIDAS!G$2:G$2)</f>
        <v>#VALUE!</v>
      </c>
      <c r="I56" s="78" t="e">
        <f t="shared" si="1"/>
        <v>#VALUE!</v>
      </c>
      <c r="J56" s="79" t="e">
        <f t="shared" si="0"/>
        <v>#VALUE!</v>
      </c>
      <c r="K56" s="80">
        <v>500</v>
      </c>
      <c r="L56" s="81">
        <v>300</v>
      </c>
    </row>
    <row r="57" spans="2:12" x14ac:dyDescent="0.25">
      <c r="B57" s="75" t="str">
        <f>LEFT([1]!STOCK[[#This Row],[CODIGO DE BARRAS]],5)</f>
        <v>040A-</v>
      </c>
      <c r="C57" s="30" t="s">
        <v>181</v>
      </c>
      <c r="D57" s="76" t="s">
        <v>182</v>
      </c>
      <c r="E57" s="88"/>
      <c r="F57" s="30">
        <v>97</v>
      </c>
      <c r="G57" s="78" t="e">
        <f>SUMIF([1]ENTRADA!D$2:D$3295,D57,[1]ENTRADA!G$2:G$2)</f>
        <v>#VALUE!</v>
      </c>
      <c r="H57" s="78" t="e">
        <f>SUMIF([1]SALIDAS!D$2:D$1371,D57,[1]SALIDAS!G$2:G$2)</f>
        <v>#VALUE!</v>
      </c>
      <c r="I57" s="78" t="e">
        <f t="shared" si="1"/>
        <v>#VALUE!</v>
      </c>
      <c r="J57" s="79" t="e">
        <f t="shared" si="0"/>
        <v>#VALUE!</v>
      </c>
      <c r="K57" s="80">
        <v>500</v>
      </c>
      <c r="L57" s="81">
        <v>300</v>
      </c>
    </row>
    <row r="58" spans="2:12" x14ac:dyDescent="0.25">
      <c r="B58" s="75" t="str">
        <f>LEFT([1]!STOCK[[#This Row],[CODIGO DE BARRAS]],5)</f>
        <v>041B-</v>
      </c>
      <c r="C58" s="30" t="s">
        <v>183</v>
      </c>
      <c r="D58" s="76" t="s">
        <v>184</v>
      </c>
      <c r="E58" s="108"/>
      <c r="F58" s="30">
        <v>44</v>
      </c>
      <c r="G58" s="78" t="e">
        <f>SUMIF([1]ENTRADA!D$2:D$3295,D58,[1]ENTRADA!G$2:G$2)</f>
        <v>#VALUE!</v>
      </c>
      <c r="H58" s="78" t="e">
        <f>SUMIF([1]SALIDAS!D$2:D$1371,D58,[1]SALIDAS!G$2:G$2)</f>
        <v>#VALUE!</v>
      </c>
      <c r="I58" s="78" t="e">
        <f t="shared" si="1"/>
        <v>#VALUE!</v>
      </c>
      <c r="J58" s="79" t="e">
        <f t="shared" si="0"/>
        <v>#VALUE!</v>
      </c>
      <c r="K58" s="80">
        <v>500</v>
      </c>
      <c r="L58" s="81">
        <v>300</v>
      </c>
    </row>
    <row r="59" spans="2:12" x14ac:dyDescent="0.25">
      <c r="B59" s="75" t="str">
        <f>LEFT([1]!STOCK[[#This Row],[CODIGO DE BARRAS]],5)</f>
        <v>042B-</v>
      </c>
      <c r="C59" s="30" t="s">
        <v>185</v>
      </c>
      <c r="D59" s="76" t="s">
        <v>186</v>
      </c>
      <c r="E59" s="108"/>
      <c r="F59" s="30">
        <v>91</v>
      </c>
      <c r="G59" s="78" t="e">
        <f>SUMIF([1]ENTRADA!D$2:D$3295,D59,[1]ENTRADA!G$2:G$2)</f>
        <v>#VALUE!</v>
      </c>
      <c r="H59" s="78" t="e">
        <f>SUMIF([1]SALIDAS!D$2:D$1371,D59,[1]SALIDAS!G$2:G$2)</f>
        <v>#VALUE!</v>
      </c>
      <c r="I59" s="78" t="e">
        <f t="shared" si="1"/>
        <v>#VALUE!</v>
      </c>
      <c r="J59" s="79" t="e">
        <f t="shared" si="0"/>
        <v>#VALUE!</v>
      </c>
      <c r="K59" s="80">
        <v>500</v>
      </c>
      <c r="L59" s="81">
        <v>300</v>
      </c>
    </row>
    <row r="60" spans="2:12" x14ac:dyDescent="0.25">
      <c r="B60" s="75" t="str">
        <f>LEFT([1]!STOCK[[#This Row],[CODIGO DE BARRAS]],5)</f>
        <v>085A-</v>
      </c>
      <c r="C60" s="30" t="s">
        <v>187</v>
      </c>
      <c r="D60" s="76" t="s">
        <v>188</v>
      </c>
      <c r="E60" s="90"/>
      <c r="F60" s="30">
        <v>0</v>
      </c>
      <c r="G60" s="78" t="e">
        <f>SUMIF([1]ENTRADA!D$2:D$3295,D60,[1]ENTRADA!G$2:G$2)</f>
        <v>#VALUE!</v>
      </c>
      <c r="H60" s="78" t="e">
        <f>SUMIF([1]SALIDAS!D$2:D$1371,D60,[1]SALIDAS!G$2:G$2)</f>
        <v>#VALUE!</v>
      </c>
      <c r="I60" s="78" t="e">
        <f t="shared" si="1"/>
        <v>#VALUE!</v>
      </c>
      <c r="J60" s="79" t="e">
        <f t="shared" si="0"/>
        <v>#VALUE!</v>
      </c>
      <c r="K60" s="80">
        <v>500</v>
      </c>
      <c r="L60" s="81">
        <v>300</v>
      </c>
    </row>
    <row r="61" spans="2:12" x14ac:dyDescent="0.25">
      <c r="B61" s="92" t="str">
        <f>LEFT([1]!STOCK[[#This Row],[CODIGO DE BARRAS]],5)</f>
        <v>086A-</v>
      </c>
      <c r="C61" s="30" t="s">
        <v>189</v>
      </c>
      <c r="D61" s="76" t="s">
        <v>190</v>
      </c>
      <c r="E61" s="90"/>
      <c r="F61" s="30">
        <v>167</v>
      </c>
      <c r="G61" s="78" t="e">
        <f>SUMIF([1]ENTRADA!D$2:D$3295,D61,[1]ENTRADA!G$2:G$2)</f>
        <v>#VALUE!</v>
      </c>
      <c r="H61" s="78" t="e">
        <f>SUMIF([1]SALIDAS!D$2:D$1371,D61,[1]SALIDAS!G$2:G$2)</f>
        <v>#VALUE!</v>
      </c>
      <c r="I61" s="78" t="e">
        <f t="shared" si="1"/>
        <v>#VALUE!</v>
      </c>
      <c r="J61" s="79" t="e">
        <f t="shared" si="0"/>
        <v>#VALUE!</v>
      </c>
      <c r="K61" s="80">
        <v>500</v>
      </c>
      <c r="L61" s="81">
        <v>300</v>
      </c>
    </row>
    <row r="62" spans="2:12" x14ac:dyDescent="0.25">
      <c r="B62" s="92" t="str">
        <f>LEFT([1]!STOCK[[#This Row],[CODIGO DE BARRAS]],5)</f>
        <v>043B-</v>
      </c>
      <c r="C62" s="30" t="s">
        <v>191</v>
      </c>
      <c r="D62" s="76" t="s">
        <v>192</v>
      </c>
      <c r="E62" s="91"/>
      <c r="F62" s="30">
        <v>48</v>
      </c>
      <c r="G62" s="78" t="e">
        <f>SUMIF([1]ENTRADA!D$2:D$3295,D62,[1]ENTRADA!G$2:G$2)</f>
        <v>#VALUE!</v>
      </c>
      <c r="H62" s="78" t="e">
        <f>SUMIF([1]SALIDAS!D$2:D$1371,D62,[1]SALIDAS!G$2:G$2)</f>
        <v>#VALUE!</v>
      </c>
      <c r="I62" s="78" t="e">
        <f t="shared" si="1"/>
        <v>#VALUE!</v>
      </c>
      <c r="J62" s="79" t="e">
        <f t="shared" si="0"/>
        <v>#VALUE!</v>
      </c>
      <c r="K62" s="80">
        <v>500</v>
      </c>
      <c r="L62" s="81">
        <v>300</v>
      </c>
    </row>
    <row r="63" spans="2:12" x14ac:dyDescent="0.25">
      <c r="B63" s="75" t="str">
        <f>LEFT([1]!STOCK[[#This Row],[CODIGO DE BARRAS]],5)</f>
        <v>044B-</v>
      </c>
      <c r="C63" s="30" t="s">
        <v>193</v>
      </c>
      <c r="D63" s="76" t="s">
        <v>194</v>
      </c>
      <c r="E63" s="91"/>
      <c r="F63" s="30">
        <v>8</v>
      </c>
      <c r="G63" s="78" t="e">
        <f>SUMIF([1]ENTRADA!D$2:D$3295,D63,[1]ENTRADA!G$2:G$2)</f>
        <v>#VALUE!</v>
      </c>
      <c r="H63" s="78" t="e">
        <f>SUMIF([1]SALIDAS!D$2:D$1371,D63,[1]SALIDAS!G$2:G$2)</f>
        <v>#VALUE!</v>
      </c>
      <c r="I63" s="78" t="e">
        <f t="shared" si="1"/>
        <v>#VALUE!</v>
      </c>
      <c r="J63" s="79" t="e">
        <f t="shared" si="0"/>
        <v>#VALUE!</v>
      </c>
      <c r="K63" s="80">
        <v>500</v>
      </c>
      <c r="L63" s="81">
        <v>300</v>
      </c>
    </row>
    <row r="64" spans="2:12" x14ac:dyDescent="0.25">
      <c r="B64" s="75" t="str">
        <f>LEFT([1]!STOCK[[#This Row],[CODIGO DE BARRAS]],5)</f>
        <v>068A-</v>
      </c>
      <c r="C64" s="30" t="s">
        <v>195</v>
      </c>
      <c r="D64" s="76" t="s">
        <v>196</v>
      </c>
      <c r="E64" s="93"/>
      <c r="F64" s="30">
        <v>60</v>
      </c>
      <c r="G64" s="78" t="e">
        <f>SUMIF([1]ENTRADA!D$2:D$3295,D64,[1]ENTRADA!G$2:G$2)</f>
        <v>#VALUE!</v>
      </c>
      <c r="H64" s="78" t="e">
        <f>SUMIF([1]SALIDAS!D$2:D$1371,D64,[1]SALIDAS!G$2:G$2)</f>
        <v>#VALUE!</v>
      </c>
      <c r="I64" s="78" t="e">
        <f t="shared" si="1"/>
        <v>#VALUE!</v>
      </c>
      <c r="J64" s="79" t="e">
        <f t="shared" si="0"/>
        <v>#VALUE!</v>
      </c>
      <c r="K64" s="80">
        <v>500</v>
      </c>
      <c r="L64" s="81">
        <v>300</v>
      </c>
    </row>
    <row r="65" spans="2:12" x14ac:dyDescent="0.25">
      <c r="B65" s="75" t="str">
        <f>LEFT([1]!STOCK[[#This Row],[CODIGO DE BARRAS]],5)</f>
        <v>071A-</v>
      </c>
      <c r="C65" s="30" t="s">
        <v>197</v>
      </c>
      <c r="D65" s="76" t="s">
        <v>198</v>
      </c>
      <c r="E65" s="93"/>
      <c r="F65" s="30">
        <v>0</v>
      </c>
      <c r="G65" s="78" t="e">
        <f>SUMIF([1]ENTRADA!D$2:D$3295,D65,[1]ENTRADA!G$2:G$2)</f>
        <v>#VALUE!</v>
      </c>
      <c r="H65" s="78" t="e">
        <f>SUMIF([1]SALIDAS!D$2:D$1371,D65,[1]SALIDAS!G$2:G$2)</f>
        <v>#VALUE!</v>
      </c>
      <c r="I65" s="78" t="e">
        <f t="shared" si="1"/>
        <v>#VALUE!</v>
      </c>
      <c r="J65" s="79" t="e">
        <f t="shared" si="0"/>
        <v>#VALUE!</v>
      </c>
      <c r="K65" s="80">
        <v>500</v>
      </c>
      <c r="L65" s="81">
        <v>300</v>
      </c>
    </row>
    <row r="66" spans="2:12" x14ac:dyDescent="0.25">
      <c r="B66" s="75" t="str">
        <f>LEFT([1]!STOCK[[#This Row],[CODIGO DE BARRAS]],5)</f>
        <v>047A-</v>
      </c>
      <c r="C66" s="30" t="s">
        <v>199</v>
      </c>
      <c r="D66" s="76" t="s">
        <v>200</v>
      </c>
      <c r="E66" s="109"/>
      <c r="F66" s="30">
        <v>19</v>
      </c>
      <c r="G66" s="78" t="e">
        <f>SUMIF([1]ENTRADA!D$2:D$3295,D66,[1]ENTRADA!G$2:G$2)</f>
        <v>#VALUE!</v>
      </c>
      <c r="H66" s="78" t="e">
        <f>SUMIF([1]SALIDAS!D$2:D$1371,D66,[1]SALIDAS!G$2:G$2)</f>
        <v>#VALUE!</v>
      </c>
      <c r="I66" s="78" t="e">
        <f t="shared" si="1"/>
        <v>#VALUE!</v>
      </c>
      <c r="J66" s="79" t="e">
        <f t="shared" si="0"/>
        <v>#VALUE!</v>
      </c>
      <c r="K66" s="80">
        <v>500</v>
      </c>
      <c r="L66" s="81">
        <v>300</v>
      </c>
    </row>
    <row r="67" spans="2:12" ht="15.75" thickBot="1" x14ac:dyDescent="0.3">
      <c r="B67" s="94" t="str">
        <f>LEFT([1]!STOCK[[#This Row],[CODIGO DE BARRAS]],5)</f>
        <v>048B-</v>
      </c>
      <c r="C67" s="95" t="s">
        <v>201</v>
      </c>
      <c r="D67" s="96" t="s">
        <v>202</v>
      </c>
      <c r="E67" s="97"/>
      <c r="F67" s="30">
        <v>84</v>
      </c>
      <c r="G67" s="78" t="e">
        <f>SUMIF([1]ENTRADA!D$2:D$3295,D67,[1]ENTRADA!G$2:G$2)</f>
        <v>#VALUE!</v>
      </c>
      <c r="H67" s="78" t="e">
        <f>SUMIF([1]SALIDAS!D$2:D$1371,D67,[1]SALIDAS!G$2:G$2)</f>
        <v>#VALUE!</v>
      </c>
      <c r="I67" s="78" t="e">
        <f t="shared" si="1"/>
        <v>#VALUE!</v>
      </c>
      <c r="J67" s="79" t="e">
        <f t="shared" ref="J67:J98" si="2">I67*0.16</f>
        <v>#VALUE!</v>
      </c>
      <c r="K67" s="80">
        <v>500</v>
      </c>
      <c r="L67" s="81">
        <v>300</v>
      </c>
    </row>
    <row r="68" spans="2:12" x14ac:dyDescent="0.25">
      <c r="B68" s="98" t="str">
        <f>LEFT([1]!STOCK[[#This Row],[CODIGO DE BARRAS]],5)</f>
        <v>049B-</v>
      </c>
      <c r="C68" s="99" t="s">
        <v>203</v>
      </c>
      <c r="D68" s="100" t="s">
        <v>204</v>
      </c>
      <c r="E68" s="105"/>
      <c r="F68" s="30">
        <v>477</v>
      </c>
      <c r="G68" s="78" t="e">
        <f>SUMIF([1]ENTRADA!D$2:D$3295,D68,[1]ENTRADA!G$2:G$2)</f>
        <v>#VALUE!</v>
      </c>
      <c r="H68" s="78" t="e">
        <f>SUMIF([1]SALIDAS!D$2:D$1371,D68,[1]SALIDAS!G$2:G$2)</f>
        <v>#VALUE!</v>
      </c>
      <c r="I68" s="78" t="e">
        <f t="shared" si="1"/>
        <v>#VALUE!</v>
      </c>
      <c r="J68" s="79" t="e">
        <f t="shared" si="2"/>
        <v>#VALUE!</v>
      </c>
      <c r="K68" s="80">
        <v>700</v>
      </c>
      <c r="L68" s="81">
        <v>500</v>
      </c>
    </row>
    <row r="69" spans="2:12" x14ac:dyDescent="0.25">
      <c r="B69" s="75" t="str">
        <f>LEFT([1]!STOCK[[#This Row],[CODIGO DE BARRAS]],5)</f>
        <v>050B-</v>
      </c>
      <c r="C69" s="30" t="s">
        <v>205</v>
      </c>
      <c r="D69" s="76" t="s">
        <v>206</v>
      </c>
      <c r="E69" s="82"/>
      <c r="F69" s="17">
        <v>964</v>
      </c>
      <c r="G69" s="78" t="e">
        <f>SUMIF([1]ENTRADA!D$2:D$3295,D69,[1]ENTRADA!G$2:G$2)</f>
        <v>#VALUE!</v>
      </c>
      <c r="H69" s="78" t="e">
        <f>SUMIF([1]SALIDAS!D$2:D$1371,D69,[1]SALIDAS!G$2:G$2)</f>
        <v>#VALUE!</v>
      </c>
      <c r="I69" s="78" t="e">
        <f t="shared" ref="I69:I98" si="3">F69+G69-H69</f>
        <v>#VALUE!</v>
      </c>
      <c r="J69" s="79" t="e">
        <f t="shared" si="2"/>
        <v>#VALUE!</v>
      </c>
      <c r="K69" s="80">
        <v>300</v>
      </c>
      <c r="L69" s="81">
        <v>100</v>
      </c>
    </row>
    <row r="70" spans="2:12" x14ac:dyDescent="0.25">
      <c r="B70" s="75" t="str">
        <f>LEFT([1]!STOCK[[#This Row],[CODIGO DE BARRAS]],5)</f>
        <v>051B-</v>
      </c>
      <c r="C70" s="30" t="s">
        <v>207</v>
      </c>
      <c r="D70" s="76" t="s">
        <v>208</v>
      </c>
      <c r="E70" s="83"/>
      <c r="F70" s="30">
        <v>84</v>
      </c>
      <c r="G70" s="78" t="e">
        <f>SUMIF([1]ENTRADA!D$2:D$3295,D70,[1]ENTRADA!G$2:G$2)</f>
        <v>#VALUE!</v>
      </c>
      <c r="H70" s="78" t="e">
        <f>SUMIF([1]SALIDAS!D$2:D$1371,D70,[1]SALIDAS!G$2:G$2)</f>
        <v>#VALUE!</v>
      </c>
      <c r="I70" s="78" t="e">
        <f t="shared" si="3"/>
        <v>#VALUE!</v>
      </c>
      <c r="J70" s="79" t="e">
        <f t="shared" si="2"/>
        <v>#VALUE!</v>
      </c>
      <c r="K70" s="80">
        <v>80</v>
      </c>
      <c r="L70" s="81">
        <v>50</v>
      </c>
    </row>
    <row r="71" spans="2:12" x14ac:dyDescent="0.25">
      <c r="B71" s="75" t="str">
        <f>LEFT([1]!STOCK[[#This Row],[CODIGO DE BARRAS]],5)</f>
        <v>087A-</v>
      </c>
      <c r="C71" s="30" t="s">
        <v>209</v>
      </c>
      <c r="D71" s="76" t="s">
        <v>210</v>
      </c>
      <c r="E71" s="103"/>
      <c r="F71" s="30">
        <v>0</v>
      </c>
      <c r="G71" s="78" t="e">
        <f>SUMIF([1]ENTRADA!D$2:D$3295,D71,[1]ENTRADA!G$2:G$2)</f>
        <v>#VALUE!</v>
      </c>
      <c r="H71" s="78" t="e">
        <f>SUMIF([1]SALIDAS!D$2:D$1371,D71,[1]SALIDAS!G$2:G$2)</f>
        <v>#VALUE!</v>
      </c>
      <c r="I71" s="78" t="e">
        <f t="shared" si="3"/>
        <v>#VALUE!</v>
      </c>
      <c r="J71" s="79" t="e">
        <f t="shared" si="2"/>
        <v>#VALUE!</v>
      </c>
      <c r="K71" s="80">
        <v>80</v>
      </c>
      <c r="L71" s="81">
        <v>50</v>
      </c>
    </row>
    <row r="72" spans="2:12" x14ac:dyDescent="0.25">
      <c r="B72" s="92" t="str">
        <f>LEFT([1]!STOCK[[#This Row],[CODIGO DE BARRAS]],5)</f>
        <v>088B-</v>
      </c>
      <c r="C72" s="30" t="s">
        <v>211</v>
      </c>
      <c r="D72" s="76" t="s">
        <v>212</v>
      </c>
      <c r="E72" s="85"/>
      <c r="F72" s="30">
        <v>0</v>
      </c>
      <c r="G72" s="78" t="e">
        <f>SUMIF([1]ENTRADA!D$2:D$3295,D72,[1]ENTRADA!G$2:G$2)</f>
        <v>#VALUE!</v>
      </c>
      <c r="H72" s="78" t="e">
        <f>SUMIF([1]SALIDAS!D$2:D$1371,D72,[1]SALIDAS!G$2:G$2)</f>
        <v>#VALUE!</v>
      </c>
      <c r="I72" s="78" t="e">
        <f t="shared" si="3"/>
        <v>#VALUE!</v>
      </c>
      <c r="J72" s="79" t="e">
        <f t="shared" si="2"/>
        <v>#VALUE!</v>
      </c>
      <c r="K72" s="80">
        <v>80</v>
      </c>
      <c r="L72" s="81">
        <v>50</v>
      </c>
    </row>
    <row r="73" spans="2:12" x14ac:dyDescent="0.25">
      <c r="B73" s="92" t="str">
        <f>LEFT([1]!STOCK[[#This Row],[CODIGO DE BARRAS]],5)</f>
        <v>056B-</v>
      </c>
      <c r="C73" s="30" t="s">
        <v>213</v>
      </c>
      <c r="D73" s="76" t="s">
        <v>214</v>
      </c>
      <c r="E73" s="86"/>
      <c r="F73" s="17">
        <v>80</v>
      </c>
      <c r="G73" s="78" t="e">
        <f>SUMIF([1]ENTRADA!D$2:D$3295,D73,[1]ENTRADA!G$2:G$2)</f>
        <v>#VALUE!</v>
      </c>
      <c r="H73" s="78" t="e">
        <f>SUMIF([1]SALIDAS!D$2:D$1371,D73,[1]SALIDAS!G$2:G$2)</f>
        <v>#VALUE!</v>
      </c>
      <c r="I73" s="78" t="e">
        <f t="shared" si="3"/>
        <v>#VALUE!</v>
      </c>
      <c r="J73" s="79" t="e">
        <f t="shared" si="2"/>
        <v>#VALUE!</v>
      </c>
      <c r="K73" s="80">
        <v>80</v>
      </c>
      <c r="L73" s="81">
        <v>50</v>
      </c>
    </row>
    <row r="74" spans="2:12" x14ac:dyDescent="0.25">
      <c r="B74" s="75" t="str">
        <f>LEFT([1]!STOCK[[#This Row],[CODIGO DE BARRAS]],5)</f>
        <v>052B-</v>
      </c>
      <c r="C74" s="30" t="s">
        <v>215</v>
      </c>
      <c r="D74" s="76" t="s">
        <v>216</v>
      </c>
      <c r="E74" s="87"/>
      <c r="F74" s="17">
        <v>51</v>
      </c>
      <c r="G74" s="78" t="e">
        <f>SUMIF([1]ENTRADA!D$2:D$3295,D74,[1]ENTRADA!G$2:G$2)</f>
        <v>#VALUE!</v>
      </c>
      <c r="H74" s="78" t="e">
        <f>SUMIF([1]SALIDAS!D$2:D$1371,D74,[1]SALIDAS!G$2:G$2)</f>
        <v>#VALUE!</v>
      </c>
      <c r="I74" s="78" t="e">
        <f t="shared" si="3"/>
        <v>#VALUE!</v>
      </c>
      <c r="J74" s="79" t="e">
        <f t="shared" si="2"/>
        <v>#VALUE!</v>
      </c>
      <c r="K74" s="80">
        <v>80</v>
      </c>
      <c r="L74" s="81">
        <v>50</v>
      </c>
    </row>
    <row r="75" spans="2:12" x14ac:dyDescent="0.25">
      <c r="B75" s="75" t="str">
        <f>LEFT([1]!STOCK[[#This Row],[CODIGO DE BARRAS]],5)</f>
        <v>053A-</v>
      </c>
      <c r="C75" s="30" t="s">
        <v>217</v>
      </c>
      <c r="D75" s="76" t="s">
        <v>218</v>
      </c>
      <c r="E75" s="88"/>
      <c r="F75" s="17">
        <v>132</v>
      </c>
      <c r="G75" s="78" t="e">
        <f>SUMIF([1]ENTRADA!D$2:D$3295,D75,[1]ENTRADA!G$2:G$2)</f>
        <v>#VALUE!</v>
      </c>
      <c r="H75" s="78" t="e">
        <f>SUMIF([1]SALIDAS!D$2:D$1371,D75,[1]SALIDAS!G$2:G$2)</f>
        <v>#VALUE!</v>
      </c>
      <c r="I75" s="78" t="e">
        <f t="shared" si="3"/>
        <v>#VALUE!</v>
      </c>
      <c r="J75" s="79" t="e">
        <f t="shared" si="2"/>
        <v>#VALUE!</v>
      </c>
      <c r="K75" s="80">
        <v>80</v>
      </c>
      <c r="L75" s="81">
        <v>50</v>
      </c>
    </row>
    <row r="76" spans="2:12" x14ac:dyDescent="0.25">
      <c r="B76" s="75" t="str">
        <f>LEFT([1]!STOCK[[#This Row],[CODIGO DE BARRAS]],5)</f>
        <v>054B-</v>
      </c>
      <c r="C76" s="30" t="s">
        <v>219</v>
      </c>
      <c r="D76" s="76" t="s">
        <v>273</v>
      </c>
      <c r="E76" s="108"/>
      <c r="F76" s="17">
        <v>83</v>
      </c>
      <c r="G76" s="78" t="e">
        <f>SUMIF([1]ENTRADA!D$2:D$3295,D76,[1]ENTRADA!G$2:G$2)</f>
        <v>#VALUE!</v>
      </c>
      <c r="H76" s="78" t="e">
        <f>SUMIF([1]SALIDAS!D$2:D$1371,D76,[1]SALIDAS!G$2:G$2)</f>
        <v>#VALUE!</v>
      </c>
      <c r="I76" s="78" t="e">
        <f t="shared" si="3"/>
        <v>#VALUE!</v>
      </c>
      <c r="J76" s="79" t="e">
        <f t="shared" si="2"/>
        <v>#VALUE!</v>
      </c>
      <c r="K76" s="80">
        <v>80</v>
      </c>
      <c r="L76" s="81">
        <v>50</v>
      </c>
    </row>
    <row r="77" spans="2:12" x14ac:dyDescent="0.25">
      <c r="B77" s="75" t="str">
        <f>LEFT([1]!STOCK[[#This Row],[CODIGO DE BARRAS]],5)</f>
        <v>089A-</v>
      </c>
      <c r="C77" s="30" t="s">
        <v>220</v>
      </c>
      <c r="D77" s="76" t="s">
        <v>221</v>
      </c>
      <c r="E77" s="90"/>
      <c r="F77" s="30">
        <v>0</v>
      </c>
      <c r="G77" s="78" t="e">
        <f>SUMIF([1]ENTRADA!D$2:D$3295,D77,[1]ENTRADA!G$2:G$2)</f>
        <v>#VALUE!</v>
      </c>
      <c r="H77" s="78" t="e">
        <f>SUMIF([1]SALIDAS!D$2:D$1371,D77,[1]SALIDAS!G$2:G$2)</f>
        <v>#VALUE!</v>
      </c>
      <c r="I77" s="78" t="e">
        <f t="shared" si="3"/>
        <v>#VALUE!</v>
      </c>
      <c r="J77" s="79" t="e">
        <f t="shared" si="2"/>
        <v>#VALUE!</v>
      </c>
      <c r="K77" s="80">
        <v>80</v>
      </c>
      <c r="L77" s="81">
        <v>50</v>
      </c>
    </row>
    <row r="78" spans="2:12" x14ac:dyDescent="0.25">
      <c r="B78" s="92" t="str">
        <f>LEFT([1]!STOCK[[#This Row],[CODIGO DE BARRAS]],5)</f>
        <v>055B-</v>
      </c>
      <c r="C78" s="30" t="s">
        <v>222</v>
      </c>
      <c r="D78" s="76" t="s">
        <v>223</v>
      </c>
      <c r="E78" s="91"/>
      <c r="F78" s="17">
        <v>84</v>
      </c>
      <c r="G78" s="78" t="e">
        <f>SUMIF([1]ENTRADA!D$2:D$3295,D78,[1]ENTRADA!G$2:G$2)</f>
        <v>#VALUE!</v>
      </c>
      <c r="H78" s="78" t="e">
        <f>SUMIF([1]SALIDAS!D$2:D$1371,D78,[1]SALIDAS!G$2:G$2)</f>
        <v>#VALUE!</v>
      </c>
      <c r="I78" s="78" t="e">
        <f t="shared" si="3"/>
        <v>#VALUE!</v>
      </c>
      <c r="J78" s="79" t="e">
        <f t="shared" si="2"/>
        <v>#VALUE!</v>
      </c>
      <c r="K78" s="80">
        <v>80</v>
      </c>
      <c r="L78" s="81">
        <v>50</v>
      </c>
    </row>
    <row r="79" spans="2:12" x14ac:dyDescent="0.25">
      <c r="B79" s="75" t="str">
        <f>LEFT([1]!STOCK[[#This Row],[CODIGO DE BARRAS]],5)</f>
        <v>070A-</v>
      </c>
      <c r="C79" s="30" t="s">
        <v>224</v>
      </c>
      <c r="D79" s="76" t="s">
        <v>225</v>
      </c>
      <c r="E79" s="93"/>
      <c r="F79" s="17">
        <v>216</v>
      </c>
      <c r="G79" s="78" t="e">
        <f>SUMIF([1]ENTRADA!D$2:D$3295,D79,[1]ENTRADA!G$2:G$2)</f>
        <v>#VALUE!</v>
      </c>
      <c r="H79" s="78" t="e">
        <f>SUMIF([1]SALIDAS!D$2:D$1371,D79,[1]SALIDAS!G$2:G$2)</f>
        <v>#VALUE!</v>
      </c>
      <c r="I79" s="78" t="e">
        <f t="shared" si="3"/>
        <v>#VALUE!</v>
      </c>
      <c r="J79" s="79" t="e">
        <f t="shared" si="2"/>
        <v>#VALUE!</v>
      </c>
      <c r="K79" s="80">
        <v>80</v>
      </c>
      <c r="L79" s="81">
        <v>50</v>
      </c>
    </row>
    <row r="80" spans="2:12" ht="15.75" thickBot="1" x14ac:dyDescent="0.3">
      <c r="B80" s="94" t="str">
        <f>LEFT([1]!STOCK[[#This Row],[CODIGO DE BARRAS]],5)</f>
        <v>057A-</v>
      </c>
      <c r="C80" s="95" t="s">
        <v>226</v>
      </c>
      <c r="D80" s="96" t="s">
        <v>227</v>
      </c>
      <c r="E80" s="97"/>
      <c r="F80" s="30">
        <v>0</v>
      </c>
      <c r="G80" s="78" t="e">
        <f>SUMIF([1]ENTRADA!D$2:D$3295,D80,[1]ENTRADA!G$2:G$2)</f>
        <v>#VALUE!</v>
      </c>
      <c r="H80" s="78" t="e">
        <f>SUMIF([1]SALIDAS!D$2:D$1371,D80,[1]SALIDAS!G$2:G$2)</f>
        <v>#VALUE!</v>
      </c>
      <c r="I80" s="78" t="e">
        <f t="shared" si="3"/>
        <v>#VALUE!</v>
      </c>
      <c r="J80" s="79" t="e">
        <f t="shared" si="2"/>
        <v>#VALUE!</v>
      </c>
      <c r="K80" s="80">
        <v>80</v>
      </c>
      <c r="L80" s="81">
        <v>50</v>
      </c>
    </row>
    <row r="81" spans="2:12" x14ac:dyDescent="0.25">
      <c r="B81" s="98" t="str">
        <f>LEFT([1]!STOCK[[#This Row],[CODIGO DE BARRAS]],5)</f>
        <v>058B-</v>
      </c>
      <c r="C81" s="99" t="s">
        <v>228</v>
      </c>
      <c r="D81" s="100" t="s">
        <v>229</v>
      </c>
      <c r="E81" s="105"/>
      <c r="F81" s="30">
        <v>288</v>
      </c>
      <c r="G81" s="78" t="e">
        <f>SUMIF([1]ENTRADA!D$2:D$3295,D81,[1]ENTRADA!G$2:G$2)</f>
        <v>#VALUE!</v>
      </c>
      <c r="H81" s="78" t="e">
        <f>SUMIF([1]SALIDAS!D$2:D$1371,D81,[1]SALIDAS!G$2:G$2)</f>
        <v>#VALUE!</v>
      </c>
      <c r="I81" s="78" t="e">
        <f t="shared" si="3"/>
        <v>#VALUE!</v>
      </c>
      <c r="J81" s="79" t="e">
        <f t="shared" si="2"/>
        <v>#VALUE!</v>
      </c>
      <c r="K81" s="80">
        <v>900</v>
      </c>
      <c r="L81" s="81">
        <v>600</v>
      </c>
    </row>
    <row r="82" spans="2:12" x14ac:dyDescent="0.25">
      <c r="B82" s="75" t="str">
        <f>LEFT([1]!STOCK[[#This Row],[CODIGO DE BARRAS]],5)</f>
        <v>059B-</v>
      </c>
      <c r="C82" s="30" t="s">
        <v>230</v>
      </c>
      <c r="D82" s="76" t="s">
        <v>274</v>
      </c>
      <c r="E82" s="82"/>
      <c r="F82" s="30">
        <v>265</v>
      </c>
      <c r="G82" s="78" t="e">
        <f>SUMIF([1]ENTRADA!D$2:D$3295,D82,[1]ENTRADA!G$2:G$2)</f>
        <v>#VALUE!</v>
      </c>
      <c r="H82" s="78" t="e">
        <f>SUMIF([1]SALIDAS!D$2:D$1371,D82,[1]SALIDAS!G$2:G$2)</f>
        <v>#VALUE!</v>
      </c>
      <c r="I82" s="78" t="e">
        <f t="shared" si="3"/>
        <v>#VALUE!</v>
      </c>
      <c r="J82" s="79" t="e">
        <f t="shared" si="2"/>
        <v>#VALUE!</v>
      </c>
      <c r="K82" s="80">
        <v>900</v>
      </c>
      <c r="L82" s="81">
        <v>600</v>
      </c>
    </row>
    <row r="83" spans="2:12" x14ac:dyDescent="0.25">
      <c r="B83" s="75" t="str">
        <f>LEFT([1]!STOCK[[#This Row],[CODIGO DE BARRAS]],5)</f>
        <v>060B-</v>
      </c>
      <c r="C83" s="30" t="s">
        <v>231</v>
      </c>
      <c r="D83" s="76" t="s">
        <v>275</v>
      </c>
      <c r="E83" s="83"/>
      <c r="F83" s="30">
        <v>157</v>
      </c>
      <c r="G83" s="78" t="e">
        <f>SUMIF([1]ENTRADA!D$2:D$3295,D83,[1]ENTRADA!G$2:G$2)</f>
        <v>#VALUE!</v>
      </c>
      <c r="H83" s="78" t="e">
        <f>SUMIF([1]SALIDAS!D$2:D$1371,D83,[1]SALIDAS!G$2:G$2)</f>
        <v>#VALUE!</v>
      </c>
      <c r="I83" s="78" t="e">
        <f t="shared" si="3"/>
        <v>#VALUE!</v>
      </c>
      <c r="J83" s="79" t="e">
        <f t="shared" si="2"/>
        <v>#VALUE!</v>
      </c>
      <c r="K83" s="80">
        <v>900</v>
      </c>
      <c r="L83" s="81">
        <v>600</v>
      </c>
    </row>
    <row r="84" spans="2:12" x14ac:dyDescent="0.25">
      <c r="B84" s="75" t="str">
        <f>LEFT([1]!STOCK[[#This Row],[CODIGO DE BARRAS]],5)</f>
        <v>090A-</v>
      </c>
      <c r="C84" s="30" t="s">
        <v>232</v>
      </c>
      <c r="D84" s="76" t="s">
        <v>233</v>
      </c>
      <c r="E84" s="110"/>
      <c r="F84" s="30">
        <v>0</v>
      </c>
      <c r="G84" s="78" t="e">
        <f>SUMIF([1]ENTRADA!D$2:D$3295,D84,[1]ENTRADA!G$2:G$2)</f>
        <v>#VALUE!</v>
      </c>
      <c r="H84" s="78" t="e">
        <f>SUMIF([1]SALIDAS!D$2:D$1371,D84,[1]SALIDAS!G$2:G$2)</f>
        <v>#VALUE!</v>
      </c>
      <c r="I84" s="78" t="e">
        <f t="shared" si="3"/>
        <v>#VALUE!</v>
      </c>
      <c r="J84" s="79" t="e">
        <f t="shared" si="2"/>
        <v>#VALUE!</v>
      </c>
      <c r="K84" s="80">
        <v>400</v>
      </c>
      <c r="L84" s="81">
        <v>100</v>
      </c>
    </row>
    <row r="85" spans="2:12" x14ac:dyDescent="0.25">
      <c r="B85" s="92" t="str">
        <f>LEFT([1]!STOCK[[#This Row],[CODIGO DE BARRAS]],5)</f>
        <v>065B-</v>
      </c>
      <c r="C85" s="30" t="s">
        <v>234</v>
      </c>
      <c r="D85" s="76" t="s">
        <v>235</v>
      </c>
      <c r="E85" s="111"/>
      <c r="F85" s="30">
        <v>25</v>
      </c>
      <c r="G85" s="78" t="e">
        <f>SUMIF([1]ENTRADA!D$2:D$3295,D85,[1]ENTRADA!G$2:G$2)</f>
        <v>#VALUE!</v>
      </c>
      <c r="H85" s="78" t="e">
        <f>SUMIF([1]SALIDAS!D$2:D$1371,D85,[1]SALIDAS!G$2:G$2)</f>
        <v>#VALUE!</v>
      </c>
      <c r="I85" s="78" t="e">
        <f t="shared" si="3"/>
        <v>#VALUE!</v>
      </c>
      <c r="J85" s="79" t="e">
        <f t="shared" si="2"/>
        <v>#VALUE!</v>
      </c>
      <c r="K85" s="80">
        <v>400</v>
      </c>
      <c r="L85" s="81">
        <v>100</v>
      </c>
    </row>
    <row r="86" spans="2:12" x14ac:dyDescent="0.25">
      <c r="B86" s="75" t="str">
        <f>LEFT([1]!STOCK[[#This Row],[CODIGO DE BARRAS]],5)</f>
        <v>091B-</v>
      </c>
      <c r="C86" s="30" t="s">
        <v>236</v>
      </c>
      <c r="D86" s="76" t="s">
        <v>237</v>
      </c>
      <c r="E86" s="86"/>
      <c r="F86" s="30">
        <v>0</v>
      </c>
      <c r="G86" s="78" t="e">
        <f>SUMIF([1]ENTRADA!D$2:D$3295,D86,[1]ENTRADA!G$2:G$2)</f>
        <v>#VALUE!</v>
      </c>
      <c r="H86" s="78" t="e">
        <f>SUMIF([1]SALIDAS!D$2:D$1371,D86,[1]SALIDAS!G$2:G$2)</f>
        <v>#VALUE!</v>
      </c>
      <c r="I86" s="78" t="e">
        <f t="shared" si="3"/>
        <v>#VALUE!</v>
      </c>
      <c r="J86" s="79" t="e">
        <f t="shared" si="2"/>
        <v>#VALUE!</v>
      </c>
      <c r="K86" s="80">
        <v>400</v>
      </c>
      <c r="L86" s="81">
        <v>100</v>
      </c>
    </row>
    <row r="87" spans="2:12" x14ac:dyDescent="0.25">
      <c r="B87" s="92" t="str">
        <f>LEFT([1]!STOCK[[#This Row],[CODIGO DE BARRAS]],5)</f>
        <v>061B-</v>
      </c>
      <c r="C87" s="30" t="s">
        <v>238</v>
      </c>
      <c r="D87" s="76" t="s">
        <v>239</v>
      </c>
      <c r="E87" s="112"/>
      <c r="F87" s="30">
        <v>66</v>
      </c>
      <c r="G87" s="78" t="e">
        <f>SUMIF([1]ENTRADA!D$2:D$3295,D87,[1]ENTRADA!G$2:G$2)</f>
        <v>#VALUE!</v>
      </c>
      <c r="H87" s="78" t="e">
        <f>SUMIF([1]SALIDAS!D$2:D$1371,D87,[1]SALIDAS!G$2:G$2)</f>
        <v>#VALUE!</v>
      </c>
      <c r="I87" s="78" t="e">
        <f t="shared" si="3"/>
        <v>#VALUE!</v>
      </c>
      <c r="J87" s="79" t="e">
        <f t="shared" si="2"/>
        <v>#VALUE!</v>
      </c>
      <c r="K87" s="80">
        <v>400</v>
      </c>
      <c r="L87" s="81">
        <v>100</v>
      </c>
    </row>
    <row r="88" spans="2:12" x14ac:dyDescent="0.25">
      <c r="B88" s="75" t="str">
        <f>LEFT([1]!STOCK[[#This Row],[CODIGO DE BARRAS]],5)</f>
        <v>062A-</v>
      </c>
      <c r="C88" s="30" t="s">
        <v>240</v>
      </c>
      <c r="D88" s="76" t="s">
        <v>241</v>
      </c>
      <c r="E88" s="88"/>
      <c r="F88" s="30">
        <v>70</v>
      </c>
      <c r="G88" s="78" t="e">
        <f>SUMIF([1]ENTRADA!D$2:D$3295,D88,[1]ENTRADA!G$2:G$2)</f>
        <v>#VALUE!</v>
      </c>
      <c r="H88" s="78" t="e">
        <f>SUMIF([1]SALIDAS!D$2:D$1371,D88,[1]SALIDAS!G$2:G$2)</f>
        <v>#VALUE!</v>
      </c>
      <c r="I88" s="78" t="e">
        <f t="shared" si="3"/>
        <v>#VALUE!</v>
      </c>
      <c r="J88" s="79" t="e">
        <f t="shared" si="2"/>
        <v>#VALUE!</v>
      </c>
      <c r="K88" s="80">
        <v>400</v>
      </c>
      <c r="L88" s="81">
        <v>100</v>
      </c>
    </row>
    <row r="89" spans="2:12" x14ac:dyDescent="0.25">
      <c r="B89" s="92" t="str">
        <f>LEFT([1]!STOCK[[#This Row],[CODIGO DE BARRAS]],5)</f>
        <v>063B-</v>
      </c>
      <c r="C89" s="30" t="s">
        <v>242</v>
      </c>
      <c r="D89" s="76" t="s">
        <v>276</v>
      </c>
      <c r="E89" s="108"/>
      <c r="F89" s="30">
        <v>70</v>
      </c>
      <c r="G89" s="78" t="e">
        <f>SUMIF([1]ENTRADA!D$2:D$3295,D89,[1]ENTRADA!G$2:G$2)</f>
        <v>#VALUE!</v>
      </c>
      <c r="H89" s="78" t="e">
        <f>SUMIF([1]SALIDAS!D$2:D$1371,D89,[1]SALIDAS!G$2:G$2)</f>
        <v>#VALUE!</v>
      </c>
      <c r="I89" s="78" t="e">
        <f t="shared" si="3"/>
        <v>#VALUE!</v>
      </c>
      <c r="J89" s="79" t="e">
        <f t="shared" si="2"/>
        <v>#VALUE!</v>
      </c>
      <c r="K89" s="80">
        <v>400</v>
      </c>
      <c r="L89" s="81">
        <v>100</v>
      </c>
    </row>
    <row r="90" spans="2:12" x14ac:dyDescent="0.25">
      <c r="B90" s="75" t="str">
        <f>LEFT([1]!STOCK[[#This Row],[CODIGO DE BARRAS]],5)</f>
        <v>092A-</v>
      </c>
      <c r="C90" s="30" t="s">
        <v>243</v>
      </c>
      <c r="D90" s="76" t="s">
        <v>244</v>
      </c>
      <c r="E90" s="90"/>
      <c r="F90" s="30">
        <v>0</v>
      </c>
      <c r="G90" s="78" t="e">
        <f>SUMIF([1]ENTRADA!D$2:D$3295,D90,[1]ENTRADA!G$2:G$2)</f>
        <v>#VALUE!</v>
      </c>
      <c r="H90" s="78" t="e">
        <f>SUMIF([1]SALIDAS!D$2:D$1371,D90,[1]SALIDAS!G$2:G$2)</f>
        <v>#VALUE!</v>
      </c>
      <c r="I90" s="78" t="e">
        <f t="shared" si="3"/>
        <v>#VALUE!</v>
      </c>
      <c r="J90" s="79" t="e">
        <f t="shared" si="2"/>
        <v>#VALUE!</v>
      </c>
      <c r="K90" s="80">
        <v>400</v>
      </c>
      <c r="L90" s="81">
        <v>100</v>
      </c>
    </row>
    <row r="91" spans="2:12" x14ac:dyDescent="0.25">
      <c r="B91" s="92" t="str">
        <f>LEFT([1]!STOCK[[#This Row],[CODIGO DE BARRAS]],5)</f>
        <v>064B-</v>
      </c>
      <c r="C91" s="30" t="s">
        <v>245</v>
      </c>
      <c r="D91" s="76" t="s">
        <v>246</v>
      </c>
      <c r="E91" s="91"/>
      <c r="F91" s="30">
        <v>62</v>
      </c>
      <c r="G91" s="78" t="e">
        <f>SUMIF([1]ENTRADA!D$2:D$3295,D91,[1]ENTRADA!G$2:G$2)</f>
        <v>#VALUE!</v>
      </c>
      <c r="H91" s="78" t="e">
        <f>SUMIF([1]SALIDAS!D$2:D$1371,D91,[1]SALIDAS!G$2:G$2)</f>
        <v>#VALUE!</v>
      </c>
      <c r="I91" s="78" t="e">
        <f t="shared" si="3"/>
        <v>#VALUE!</v>
      </c>
      <c r="J91" s="79" t="e">
        <f t="shared" si="2"/>
        <v>#VALUE!</v>
      </c>
      <c r="K91" s="80">
        <v>400</v>
      </c>
      <c r="L91" s="81">
        <v>100</v>
      </c>
    </row>
    <row r="92" spans="2:12" x14ac:dyDescent="0.25">
      <c r="B92" s="75" t="str">
        <f>LEFT([1]!STOCK[[#This Row],[CODIGO DE BARRAS]],5)</f>
        <v>069A-</v>
      </c>
      <c r="C92" s="30" t="s">
        <v>247</v>
      </c>
      <c r="D92" s="76" t="s">
        <v>248</v>
      </c>
      <c r="E92" s="93"/>
      <c r="F92" s="30">
        <v>70</v>
      </c>
      <c r="G92" s="78" t="e">
        <f>SUMIF([1]ENTRADA!D$2:D$3295,D92,[1]ENTRADA!G$2:G$2)</f>
        <v>#VALUE!</v>
      </c>
      <c r="H92" s="78" t="e">
        <f>SUMIF([1]SALIDAS!D$2:D$1371,D92,[1]SALIDAS!G$2:G$2)</f>
        <v>#VALUE!</v>
      </c>
      <c r="I92" s="78" t="e">
        <f t="shared" si="3"/>
        <v>#VALUE!</v>
      </c>
      <c r="J92" s="79" t="e">
        <f t="shared" si="2"/>
        <v>#VALUE!</v>
      </c>
      <c r="K92" s="80">
        <v>400</v>
      </c>
      <c r="L92" s="81">
        <v>100</v>
      </c>
    </row>
    <row r="93" spans="2:12" ht="15.75" thickBot="1" x14ac:dyDescent="0.3">
      <c r="B93" s="94" t="str">
        <f>LEFT([1]!STOCK[[#This Row],[CODIGO DE BARRAS]],5)</f>
        <v>066A-</v>
      </c>
      <c r="C93" s="95" t="s">
        <v>249</v>
      </c>
      <c r="D93" s="96" t="s">
        <v>250</v>
      </c>
      <c r="E93" s="97"/>
      <c r="F93" s="30">
        <v>0</v>
      </c>
      <c r="G93" s="78" t="e">
        <f>SUMIF([1]ENTRADA!D$2:D$3295,D93,[1]ENTRADA!G$2:G$2)</f>
        <v>#VALUE!</v>
      </c>
      <c r="H93" s="78" t="e">
        <f>SUMIF([1]SALIDAS!D$2:D$1371,D93,[1]SALIDAS!G$2:G$2)</f>
        <v>#VALUE!</v>
      </c>
      <c r="I93" s="78" t="e">
        <f t="shared" si="3"/>
        <v>#VALUE!</v>
      </c>
      <c r="J93" s="79" t="e">
        <f t="shared" si="2"/>
        <v>#VALUE!</v>
      </c>
      <c r="K93" s="80">
        <v>400</v>
      </c>
      <c r="L93" s="81">
        <v>100</v>
      </c>
    </row>
    <row r="94" spans="2:12" x14ac:dyDescent="0.25">
      <c r="B94" s="113" t="str">
        <f>LEFT([1]!STOCK[[#This Row],[CODIGO DE BARRAS]],5)</f>
        <v>Otros</v>
      </c>
      <c r="C94" s="114" t="s">
        <v>251</v>
      </c>
      <c r="D94" s="114"/>
      <c r="E94" s="115"/>
      <c r="F94" s="116"/>
      <c r="G94" s="117" t="e">
        <f>SUMIF([1]ENTRADA!D$2:D$3295,D94,[1]ENTRADA!G$2:G$2)</f>
        <v>#VALUE!</v>
      </c>
      <c r="H94" s="117" t="e">
        <f>SUMIF([1]SALIDAS!D$2:D$1371,D94,[1]SALIDAS!G$2:G$2)</f>
        <v>#VALUE!</v>
      </c>
      <c r="I94" s="117" t="e">
        <f t="shared" si="3"/>
        <v>#VALUE!</v>
      </c>
      <c r="J94" s="117" t="e">
        <f t="shared" si="2"/>
        <v>#VALUE!</v>
      </c>
      <c r="K94" s="118"/>
      <c r="L94" s="119">
        <v>0</v>
      </c>
    </row>
    <row r="95" spans="2:12" x14ac:dyDescent="0.25">
      <c r="B95" s="120" t="str">
        <f>LEFT([1]!STOCK[[#This Row],[CODIGO DE BARRAS]],5)</f>
        <v>067-g</v>
      </c>
      <c r="C95" s="116" t="s">
        <v>252</v>
      </c>
      <c r="D95" s="116" t="s">
        <v>253</v>
      </c>
      <c r="E95" s="121"/>
      <c r="F95" s="116">
        <v>195</v>
      </c>
      <c r="G95" s="117" t="e">
        <f>SUMIF([1]ENTRADA!D$2:D$3295,D95,[1]ENTRADA!G$2:G$2)</f>
        <v>#VALUE!</v>
      </c>
      <c r="H95" s="117" t="e">
        <f>SUMIF([1]SALIDAS!D$2:D$1371,D95,[1]SALIDAS!G$2:G$2)</f>
        <v>#VALUE!</v>
      </c>
      <c r="I95" s="117" t="e">
        <f t="shared" si="3"/>
        <v>#VALUE!</v>
      </c>
      <c r="J95" s="117" t="e">
        <f t="shared" si="2"/>
        <v>#VALUE!</v>
      </c>
      <c r="K95" s="118"/>
      <c r="L95" s="119"/>
    </row>
    <row r="96" spans="2:12" x14ac:dyDescent="0.25">
      <c r="B96" s="120" t="str">
        <f>LEFT([1]!STOCK[[#This Row],[CODIGO DE BARRAS]],5)</f>
        <v>100-C</v>
      </c>
      <c r="C96" s="116" t="s">
        <v>254</v>
      </c>
      <c r="D96" s="116" t="s">
        <v>255</v>
      </c>
      <c r="E96" s="121"/>
      <c r="F96" s="116">
        <v>760</v>
      </c>
      <c r="G96" s="117" t="e">
        <f>SUMIF([1]ENTRADA!D$2:D$3295,D96,[1]ENTRADA!G$2:G$2)</f>
        <v>#VALUE!</v>
      </c>
      <c r="H96" s="117" t="e">
        <f>SUMIF([1]SALIDAS!D$2:D$1371,D96,[1]SALIDAS!G$2:G$2)</f>
        <v>#VALUE!</v>
      </c>
      <c r="I96" s="117" t="e">
        <f t="shared" si="3"/>
        <v>#VALUE!</v>
      </c>
      <c r="J96" s="117" t="e">
        <f t="shared" si="2"/>
        <v>#VALUE!</v>
      </c>
      <c r="K96" s="118"/>
      <c r="L96" s="119"/>
    </row>
    <row r="97" spans="2:12" ht="15.75" thickBot="1" x14ac:dyDescent="0.3">
      <c r="B97" s="120" t="str">
        <f>LEFT([1]!STOCK[[#This Row],[CODIGO DE BARRAS]],5)</f>
        <v>101-C</v>
      </c>
      <c r="C97" s="116" t="s">
        <v>256</v>
      </c>
      <c r="D97" s="116" t="s">
        <v>257</v>
      </c>
      <c r="E97" s="122"/>
      <c r="F97" s="116">
        <v>1760</v>
      </c>
      <c r="G97" s="117" t="e">
        <f>SUMIF([1]ENTRADA!D$2:D$3295,D97,[1]ENTRADA!G$2:G$2)</f>
        <v>#VALUE!</v>
      </c>
      <c r="H97" s="117" t="e">
        <f>SUMIF([1]SALIDAS!D$2:D$1371,D97,[1]SALIDAS!G$2:G$2)</f>
        <v>#VALUE!</v>
      </c>
      <c r="I97" s="117" t="e">
        <f t="shared" si="3"/>
        <v>#VALUE!</v>
      </c>
      <c r="J97" s="117" t="e">
        <f t="shared" si="2"/>
        <v>#VALUE!</v>
      </c>
      <c r="K97" s="118"/>
      <c r="L97" s="119"/>
    </row>
    <row r="98" spans="2:12" x14ac:dyDescent="0.25">
      <c r="B98" s="123" t="str">
        <f>LEFT([1]!STOCK[[#This Row],[CODIGO DE BARRAS]],5)</f>
        <v/>
      </c>
      <c r="C98" s="124"/>
      <c r="D98" s="2"/>
      <c r="E98" s="2"/>
      <c r="F98" s="30"/>
      <c r="G98" s="78" t="e">
        <f>SUMIF([1]ENTRADA!D$2:D$3295,D98,[1]ENTRADA!G$2:G$2)</f>
        <v>#VALUE!</v>
      </c>
      <c r="H98" s="78" t="e">
        <f>SUMIF([1]SALIDAS!D$2:D$1371,D98,[1]SALIDAS!G$2:G$2)</f>
        <v>#VALUE!</v>
      </c>
      <c r="I98" s="78" t="e">
        <f t="shared" si="3"/>
        <v>#VALUE!</v>
      </c>
      <c r="J98" s="79" t="e">
        <f t="shared" si="2"/>
        <v>#VALUE!</v>
      </c>
      <c r="K98" s="80"/>
      <c r="L98" s="81"/>
    </row>
  </sheetData>
  <conditionalFormatting sqref="I2">
    <cfRule type="cellIs" priority="36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colores </vt:lpstr>
      <vt:lpstr>minimos Materia prima </vt:lpstr>
      <vt:lpstr>minimos en pisos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2026-10-01T16:23:53Z</dcterms:modified>
</cp:coreProperties>
</file>