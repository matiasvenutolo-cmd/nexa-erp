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aterial x m2  (2)" sheetId="8" r:id="rId1"/>
    <sheet name="material x m2 " sheetId="3" r:id="rId2"/>
    <sheet name="master x kg MP" sheetId="6" r:id="rId3"/>
    <sheet name="unidades" sheetId="4" r:id="rId4"/>
    <sheet name="peso" sheetId="5" r:id="rId5"/>
    <sheet name="Hoja2" sheetId="2" r:id="rId6"/>
  </sheets>
  <definedNames>
    <definedName name="_xlnm.Print_Area" localSheetId="4">peso!$B$3:$D$27</definedName>
    <definedName name="_xlnm.Print_Area" localSheetId="3">unidades!$B$3:$D$4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8" l="1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48" i="8" s="1"/>
  <c r="D49" i="8" s="1"/>
  <c r="K18" i="8"/>
  <c r="I18" i="8"/>
  <c r="K17" i="8"/>
  <c r="I17" i="8"/>
  <c r="J16" i="8"/>
  <c r="K19" i="8" s="1"/>
  <c r="K20" i="8" s="1"/>
  <c r="I16" i="8"/>
  <c r="N11" i="8"/>
  <c r="E18" i="8" s="1"/>
  <c r="S10" i="8"/>
  <c r="E8" i="8" s="1"/>
  <c r="G8" i="8" s="1"/>
  <c r="N10" i="8"/>
  <c r="E17" i="8" s="1"/>
  <c r="G17" i="8" s="1"/>
  <c r="H17" i="8" s="1"/>
  <c r="S9" i="8"/>
  <c r="N9" i="8"/>
  <c r="E16" i="8" s="1"/>
  <c r="J9" i="8"/>
  <c r="J8" i="8"/>
  <c r="H8" i="8"/>
  <c r="J7" i="8"/>
  <c r="H7" i="8"/>
  <c r="I7" i="8" s="1"/>
  <c r="E7" i="8"/>
  <c r="G7" i="8" s="1"/>
  <c r="J10" i="8" l="1"/>
  <c r="J11" i="8"/>
  <c r="H16" i="8"/>
  <c r="G16" i="8"/>
  <c r="G18" i="8"/>
  <c r="H18" i="8"/>
  <c r="K16" i="8"/>
  <c r="S11" i="8"/>
  <c r="E9" i="8" s="1"/>
  <c r="G9" i="8" s="1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28" i="3"/>
  <c r="D48" i="3" l="1"/>
  <c r="D49" i="3" s="1"/>
  <c r="J9" i="3"/>
  <c r="J8" i="3" s="1"/>
  <c r="K18" i="3"/>
  <c r="K17" i="3"/>
  <c r="H8" i="3"/>
  <c r="I18" i="3"/>
  <c r="I17" i="3"/>
  <c r="N11" i="3" l="1"/>
  <c r="S11" i="3" s="1"/>
  <c r="N10" i="3"/>
  <c r="S10" i="3" s="1"/>
  <c r="N9" i="3" l="1"/>
  <c r="E16" i="3" s="1"/>
  <c r="F106" i="6"/>
  <c r="D106" i="6"/>
  <c r="E106" i="6" s="1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16" i="6" l="1"/>
  <c r="F15" i="6"/>
  <c r="F14" i="6"/>
  <c r="E18" i="3" l="1"/>
  <c r="E17" i="3"/>
  <c r="G17" i="3" s="1"/>
  <c r="H17" i="3" s="1"/>
  <c r="E9" i="3"/>
  <c r="G9" i="3" s="1"/>
  <c r="E8" i="3"/>
  <c r="G8" i="3" s="1"/>
  <c r="G18" i="3" l="1"/>
  <c r="H18" i="3" s="1"/>
  <c r="I16" i="3"/>
  <c r="J16" i="3" s="1"/>
  <c r="K16" i="3" s="1"/>
  <c r="S9" i="3"/>
  <c r="H7" i="3"/>
  <c r="E7" i="3"/>
  <c r="J7" i="3" l="1"/>
  <c r="I7" i="3"/>
  <c r="J10" i="3" s="1"/>
  <c r="K19" i="3"/>
  <c r="K20" i="3" s="1"/>
  <c r="G16" i="3"/>
  <c r="G7" i="3"/>
  <c r="H16" i="3"/>
  <c r="J11" i="3" l="1"/>
  <c r="J15" i="6"/>
  <c r="M15" i="6" l="1"/>
  <c r="K15" i="6"/>
  <c r="L15" i="6" s="1"/>
  <c r="F10" i="6"/>
  <c r="F11" i="6"/>
  <c r="F12" i="6"/>
  <c r="F13" i="6"/>
  <c r="F8" i="6"/>
  <c r="F9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7" i="6"/>
  <c r="E40" i="6"/>
  <c r="E75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6" i="5" l="1"/>
  <c r="E13" i="5" l="1"/>
  <c r="E14" i="5"/>
  <c r="E12" i="5"/>
  <c r="E7" i="5"/>
  <c r="E8" i="5"/>
  <c r="E6" i="5"/>
</calcChain>
</file>

<file path=xl/sharedStrings.xml><?xml version="1.0" encoding="utf-8"?>
<sst xmlns="http://schemas.openxmlformats.org/spreadsheetml/2006/main" count="463" uniqueCount="236">
  <si>
    <t xml:space="preserve">Materia prima </t>
  </si>
  <si>
    <t xml:space="preserve">Master </t>
  </si>
  <si>
    <t>por bolsa de 25</t>
  </si>
  <si>
    <t xml:space="preserve">cantidad de pisos inyectados </t>
  </si>
  <si>
    <t xml:space="preserve">metrors cuadrados </t>
  </si>
  <si>
    <t>cada 10 kg = 150 g de master</t>
  </si>
  <si>
    <t>materi prima 1</t>
  </si>
  <si>
    <t>materia prima 2</t>
  </si>
  <si>
    <t>3-Polipropileno COPOLIMERO   COD:2630PC</t>
  </si>
  <si>
    <t xml:space="preserve">04- polipropileno homopolimero </t>
  </si>
  <si>
    <t>6-Polietileno COD:8818 MEDIA</t>
  </si>
  <si>
    <t xml:space="preserve">19- PLASTOMER </t>
  </si>
  <si>
    <t>21-Master Azul</t>
  </si>
  <si>
    <t>24-Master negro 951</t>
  </si>
  <si>
    <t>31-COPOLIMERO 2240 P</t>
  </si>
  <si>
    <t>B1-Master Gris Oscuro 105808</t>
  </si>
  <si>
    <t>B2 Master Gris Claro</t>
  </si>
  <si>
    <t>B3-Master Blanco</t>
  </si>
  <si>
    <t>B4-Master Azul oscuro 100954</t>
  </si>
  <si>
    <t>B5- Master Amarillo 114247</t>
  </si>
  <si>
    <t>B6- Master Verde 113227</t>
  </si>
  <si>
    <t>B7-Master Rojo 100319</t>
  </si>
  <si>
    <t>B8Master Azul claro</t>
  </si>
  <si>
    <t>B9-Master Naranja</t>
  </si>
  <si>
    <t>B10-Master Gris Oscuro nor 108900 (gris claro catalogo)</t>
  </si>
  <si>
    <t>B11-Master celeste 112228</t>
  </si>
  <si>
    <t>P1-Master Gris Oscuro 991700</t>
  </si>
  <si>
    <t>P2 Master Gris Claro 991010</t>
  </si>
  <si>
    <t>P3-Master Blanco</t>
  </si>
  <si>
    <t>P4-Master Azul oscuro</t>
  </si>
  <si>
    <t>P5- Master Amarillo1303342</t>
  </si>
  <si>
    <t>P6- Master Verde 1704673</t>
  </si>
  <si>
    <t>P7-Master Rojo</t>
  </si>
  <si>
    <t>P8-Master Azul claro</t>
  </si>
  <si>
    <t>P9-Master Naranja 1100406</t>
  </si>
  <si>
    <t>P10-Master negro</t>
  </si>
  <si>
    <t>P11-Master celeste  961150</t>
  </si>
  <si>
    <t>38-compuesto PE AD SN</t>
  </si>
  <si>
    <t xml:space="preserve">39-Polipropileno homopolimero esencia </t>
  </si>
  <si>
    <t>40-polipropileno copolimero kunlun</t>
  </si>
  <si>
    <t>41-polipropileno copolimero  sinopec</t>
  </si>
  <si>
    <t xml:space="preserve">Sobrantes y moliendas </t>
  </si>
  <si>
    <t>400-molienda mezcla de pisos(prueba)</t>
  </si>
  <si>
    <t>401- molienda p.rejillas (c-31)</t>
  </si>
  <si>
    <t xml:space="preserve">402- sobrante polipropileno Copolimero 2630p </t>
  </si>
  <si>
    <t>403- sobrante polipropileno Copolimero 2240p</t>
  </si>
  <si>
    <t xml:space="preserve">404- sobante plastomer </t>
  </si>
  <si>
    <t>405- sobrante  polipropileno homopolimero</t>
  </si>
  <si>
    <t>406-Sobante polipropileno homopolimero esencia</t>
  </si>
  <si>
    <t>407- sobrante homopolimero esencia c M/ AZUL</t>
  </si>
  <si>
    <t xml:space="preserve">master- color </t>
  </si>
  <si>
    <t xml:space="preserve">375 g </t>
  </si>
  <si>
    <t>insertar cantidad a inyectar</t>
  </si>
  <si>
    <t>Azul</t>
  </si>
  <si>
    <t xml:space="preserve">negro </t>
  </si>
  <si>
    <t xml:space="preserve"> Gris Oscuro </t>
  </si>
  <si>
    <t>Gris Claro</t>
  </si>
  <si>
    <t xml:space="preserve"> Blanco</t>
  </si>
  <si>
    <t>Azul oscuro</t>
  </si>
  <si>
    <t xml:space="preserve">Amarillo </t>
  </si>
  <si>
    <t xml:space="preserve">Verde </t>
  </si>
  <si>
    <t xml:space="preserve"> Rojo </t>
  </si>
  <si>
    <t>Azul claro</t>
  </si>
  <si>
    <t xml:space="preserve"> Naranja</t>
  </si>
  <si>
    <t xml:space="preserve">celeste </t>
  </si>
  <si>
    <t>yute</t>
  </si>
  <si>
    <t>001Rejilla -Unico - Negro</t>
  </si>
  <si>
    <t>002Rejilla -Unico - Gris Oscuro</t>
  </si>
  <si>
    <t>003Rejilla -Unico - Gris Claro</t>
  </si>
  <si>
    <t>004Rejilla -Unico - Blanco</t>
  </si>
  <si>
    <t>005Rejilla -Unico - Azul oscuro</t>
  </si>
  <si>
    <t>006Rejilla -Unico - Amarillo</t>
  </si>
  <si>
    <t>007Rejilla -Unico - Verde</t>
  </si>
  <si>
    <t>008Rejilla -Unico - Rojo</t>
  </si>
  <si>
    <t>009Rejilla -Unico - Azul claro</t>
  </si>
  <si>
    <t>010Rejilla -Unico - Naranja</t>
  </si>
  <si>
    <t>011Rejilla -Esquinero - Negro</t>
  </si>
  <si>
    <t>012Rejilla -Esquinero - Gris Oscuro</t>
  </si>
  <si>
    <t>013Rejilla -Esquinero - Gris Claro</t>
  </si>
  <si>
    <t>014Rejilla -Esquinero - Blanco</t>
  </si>
  <si>
    <t>015Rejilla -Esquinero - Azul oscuro</t>
  </si>
  <si>
    <t>016Rejilla -Esquinero - Amarillo</t>
  </si>
  <si>
    <t>017Rejilla -Esquinero - Verde</t>
  </si>
  <si>
    <t>018Rejilla -Esquinero - Rojo</t>
  </si>
  <si>
    <t>019Rejilla -Esquinero - Azul claro</t>
  </si>
  <si>
    <t>020Rejilla -Esquinero - Naranja</t>
  </si>
  <si>
    <t>021Rejilla -Rampa - Negro</t>
  </si>
  <si>
    <t>022Rejilla -Rampa - Gris Oscuro</t>
  </si>
  <si>
    <t>023Rejilla -Rampa - Gris Claro</t>
  </si>
  <si>
    <t>024Rejilla -Rampa - Blanco</t>
  </si>
  <si>
    <t>025Rejilla -Rampa - Azul oscuro</t>
  </si>
  <si>
    <t>026Rejilla -Rampa - Amarillo</t>
  </si>
  <si>
    <t>027Rejilla -Rampa - Verde</t>
  </si>
  <si>
    <t>028Rejilla -Rampa - Rojo</t>
  </si>
  <si>
    <t>029Rejilla -Rampa - Azul claro</t>
  </si>
  <si>
    <t>030Rejilla - Rampa- Naranja</t>
  </si>
  <si>
    <t>031Ciego - Moneda - Negro</t>
  </si>
  <si>
    <t>032Ciego - Trama - Negro</t>
  </si>
  <si>
    <t>033Ciego - Moneda - Gris Oscuro</t>
  </si>
  <si>
    <t>034Ciego - Trama - Gris Oscuro</t>
  </si>
  <si>
    <t>035Ciego - Moneda - Gris Claro</t>
  </si>
  <si>
    <t>036Ciego - Trama - Gris Claro</t>
  </si>
  <si>
    <t>037Ciego - Moneda - Azul oscuro</t>
  </si>
  <si>
    <t>038Ciego - Trama - Azul oscuro</t>
  </si>
  <si>
    <t>039Ciego - Moneda - Amarillo</t>
  </si>
  <si>
    <t>040Ciego - Trama - Amarillo</t>
  </si>
  <si>
    <t>041Ciego - Moneda - Verde</t>
  </si>
  <si>
    <t>042Ciego - Trama - Verde</t>
  </si>
  <si>
    <t>043Ciego - Moneda - Rojo</t>
  </si>
  <si>
    <t>044Ciego - Trama - Rojo</t>
  </si>
  <si>
    <t>045Ciego - Moneda - Azul claro</t>
  </si>
  <si>
    <t>046Ciego - Trama - Azul claro</t>
  </si>
  <si>
    <t>047Ciego - MonedaNaranja</t>
  </si>
  <si>
    <t>048Ciego - TramaNaranja</t>
  </si>
  <si>
    <t>049Ciego - Esquinero - Negro</t>
  </si>
  <si>
    <t>050Ciego - Esquinero - Gris Oscuro</t>
  </si>
  <si>
    <t>051Ciego - Esquinero - Gris Claro</t>
  </si>
  <si>
    <t>052Ciego - Esquinero - Azul oscuro</t>
  </si>
  <si>
    <t>053Ciego - Esquinero - Amarillo</t>
  </si>
  <si>
    <t>054Ciego - Esquinero - Verde</t>
  </si>
  <si>
    <t>055Ciego - Esquinero - Rojo</t>
  </si>
  <si>
    <t>056Ciego - Esquinero - Azul claro</t>
  </si>
  <si>
    <t>057Ciego - Esquinero - Naranja</t>
  </si>
  <si>
    <t>058Ciego - Rampa - Negro</t>
  </si>
  <si>
    <t>059Ciego -Rampa  - Gris Oscuro</t>
  </si>
  <si>
    <t>060Ciego - Rampa - Gris Claro</t>
  </si>
  <si>
    <t>061Ciego - Rampa - Azul oscuro</t>
  </si>
  <si>
    <t>062Ciego - Rampa - Amarillo</t>
  </si>
  <si>
    <t>063Ciego - Rampa - Verde</t>
  </si>
  <si>
    <t>064Ciego - Rampa - Rojo</t>
  </si>
  <si>
    <t>065Ciego - Rampa - Azul claro</t>
  </si>
  <si>
    <t>066Ciego - Rampa - Naranja</t>
  </si>
  <si>
    <t>100CAJAS CHICAS</t>
  </si>
  <si>
    <t>068Ciego - Moneda - YUTE</t>
  </si>
  <si>
    <t>069Ciego - Rampa - YUTE</t>
  </si>
  <si>
    <t>070Ciego - Esquinero - YUTE</t>
  </si>
  <si>
    <t>071Ciego - Trama - YUTE</t>
  </si>
  <si>
    <t>Producto</t>
  </si>
  <si>
    <t>Color</t>
  </si>
  <si>
    <t>Pedido especial</t>
  </si>
  <si>
    <t xml:space="preserve">Producto </t>
  </si>
  <si>
    <t>cantidad por golpe</t>
  </si>
  <si>
    <t>piso ciego</t>
  </si>
  <si>
    <t xml:space="preserve">rampa ciega </t>
  </si>
  <si>
    <t>angulo ciego</t>
  </si>
  <si>
    <t>piso rejilla</t>
  </si>
  <si>
    <t>rampa rejilla</t>
  </si>
  <si>
    <t xml:space="preserve">angulo rejilla </t>
  </si>
  <si>
    <t xml:space="preserve">peso con colada en gramos </t>
  </si>
  <si>
    <t>Ciego - Moneda - Negro</t>
  </si>
  <si>
    <t>Negro</t>
  </si>
  <si>
    <t>Ciego - Moneda - Gris Oscuro</t>
  </si>
  <si>
    <t>Ciego - Moneda - Gris Claro</t>
  </si>
  <si>
    <t>Ciego - Moneda - Azul oscuro</t>
  </si>
  <si>
    <t>Ciego - Moneda - Amarillo</t>
  </si>
  <si>
    <t>Ciego - Moneda - Verde</t>
  </si>
  <si>
    <t>Ciego - Moneda - Rojo</t>
  </si>
  <si>
    <t>Ciego - Moneda - Azul claro</t>
  </si>
  <si>
    <t>Ciego - MonedaNaranja</t>
  </si>
  <si>
    <t>Ciego - Moneda - YUTE</t>
  </si>
  <si>
    <t xml:space="preserve">% de master </t>
  </si>
  <si>
    <t xml:space="preserve">Rejilla </t>
  </si>
  <si>
    <t>cantidad de unidades</t>
  </si>
  <si>
    <t xml:space="preserve">cantidad de cajas </t>
  </si>
  <si>
    <t>m2 por baldosa</t>
  </si>
  <si>
    <t>cantidad x caja ciego</t>
  </si>
  <si>
    <t>cantidad x caja rejilla</t>
  </si>
  <si>
    <t>materi prima 2</t>
  </si>
  <si>
    <t>Insertar m2 requeridos</t>
  </si>
  <si>
    <t xml:space="preserve">Tabla </t>
  </si>
  <si>
    <t xml:space="preserve">peso individual </t>
  </si>
  <si>
    <t xml:space="preserve">peso por metro cuarado </t>
  </si>
  <si>
    <t>peso de la baldosa</t>
  </si>
  <si>
    <t>Pisos rejilla</t>
  </si>
  <si>
    <t>Pisos ciegos</t>
  </si>
  <si>
    <t>Angulo x4</t>
  </si>
  <si>
    <t>Rampa x2 con colada</t>
  </si>
  <si>
    <t>Angulo x4 con colada</t>
  </si>
  <si>
    <t>Ciego</t>
  </si>
  <si>
    <t>Peso x m2 en MP</t>
  </si>
  <si>
    <t xml:space="preserve">Peso del pedido </t>
  </si>
  <si>
    <t>peso de la caja</t>
  </si>
  <si>
    <t>master</t>
  </si>
  <si>
    <t xml:space="preserve">color </t>
  </si>
  <si>
    <t>Piso REJILLA</t>
  </si>
  <si>
    <t>Piso CIEGO</t>
  </si>
  <si>
    <t xml:space="preserve">bolsas </t>
  </si>
  <si>
    <t xml:space="preserve">cantidad de bolsas </t>
  </si>
  <si>
    <t>Cantidad de master necesario por bolsa de 25 kg</t>
  </si>
  <si>
    <t xml:space="preserve">40 baldosas </t>
  </si>
  <si>
    <t xml:space="preserve">Cuadro de cantidad de master por Kg de materia prima </t>
  </si>
  <si>
    <t xml:space="preserve">Metros cuadrados </t>
  </si>
  <si>
    <t xml:space="preserve">master por kg mp </t>
  </si>
  <si>
    <t>KG</t>
  </si>
  <si>
    <r>
      <t>3-Polipropileno COPOLIMERO   COD:2630PC -</t>
    </r>
    <r>
      <rPr>
        <sz val="11"/>
        <color rgb="FF00B0F0"/>
        <rFont val="Calibri"/>
        <family val="2"/>
        <scheme val="minor"/>
      </rPr>
      <t>50%</t>
    </r>
  </si>
  <si>
    <r>
      <t>19- PLASTOMER -</t>
    </r>
    <r>
      <rPr>
        <sz val="11"/>
        <color rgb="FF00B0F0"/>
        <rFont val="Calibri"/>
        <family val="2"/>
        <scheme val="minor"/>
      </rPr>
      <t>50%</t>
    </r>
  </si>
  <si>
    <t>kg a utilizar</t>
  </si>
  <si>
    <t>kg de master</t>
  </si>
  <si>
    <t xml:space="preserve">Formual pisos rejilla </t>
  </si>
  <si>
    <t xml:space="preserve">Rampa </t>
  </si>
  <si>
    <t xml:space="preserve">Angulo </t>
  </si>
  <si>
    <t>Calculo de material a utilizar por metro cuadrado de piso</t>
  </si>
  <si>
    <t xml:space="preserve">PESO APROXIMADO, PARA ENVIO PESAR DESPACHO COMPLETO CON PALET, O FILM </t>
  </si>
  <si>
    <t xml:space="preserve">PESO DE LA CAJA ARMADA COMPLETA PISO REJILLA X 8 UNIDADES </t>
  </si>
  <si>
    <t>consumo semanal de MP en inyectora  (8 hs diarias) =1750 Kg</t>
  </si>
  <si>
    <r>
      <rPr>
        <sz val="9"/>
        <color theme="1"/>
        <rFont val="Calibri"/>
        <family val="2"/>
        <scheme val="minor"/>
      </rPr>
      <t>PESO CAJA ARMADA COMPLETA MONEDA X 25 U15,420</t>
    </r>
    <r>
      <rPr>
        <b/>
        <sz val="9"/>
        <color theme="1"/>
        <rFont val="Calibri"/>
        <family val="2"/>
        <scheme val="minor"/>
      </rPr>
      <t xml:space="preserve">                                 </t>
    </r>
    <r>
      <rPr>
        <b/>
        <sz val="11"/>
        <color theme="1"/>
        <rFont val="Calibri"/>
        <family val="2"/>
        <scheme val="minor"/>
      </rPr>
      <t>TOTAL=</t>
    </r>
  </si>
  <si>
    <r>
      <rPr>
        <sz val="9"/>
        <color theme="1"/>
        <rFont val="Calibri"/>
        <family val="2"/>
        <scheme val="minor"/>
      </rPr>
      <t xml:space="preserve">PESO CAJA ARMADA COMPLETA TRAMAX 25 UNIDADES 14,985                </t>
    </r>
    <r>
      <rPr>
        <sz val="11"/>
        <color theme="1"/>
        <rFont val="Calibri"/>
        <family val="2"/>
        <scheme val="minor"/>
      </rPr>
      <t xml:space="preserve">     </t>
    </r>
    <r>
      <rPr>
        <b/>
        <sz val="11"/>
        <color theme="1"/>
        <rFont val="Calibri"/>
        <family val="2"/>
        <scheme val="minor"/>
      </rPr>
      <t>TOTAL=</t>
    </r>
  </si>
  <si>
    <t>rampa ciegas UNIDADES</t>
  </si>
  <si>
    <t>angulo ciegos UNIDADES</t>
  </si>
  <si>
    <t>rampa rejilla UNIDADES</t>
  </si>
  <si>
    <t>angulo rejilla UNIDADES</t>
  </si>
  <si>
    <t>PESO CAJA PISO ARMADA COMPLETA MONEDA</t>
  </si>
  <si>
    <t>PESO CAJA PISO ARMADA COMPLETA TRAMA</t>
  </si>
  <si>
    <t xml:space="preserve">PESO CAJA PISO R. COMPLETA </t>
  </si>
  <si>
    <t xml:space="preserve">UNIDADSIN COLADA </t>
  </si>
  <si>
    <t>UNIDAD SIN COLADA</t>
  </si>
  <si>
    <t xml:space="preserve">SUMA </t>
  </si>
  <si>
    <t>1m2=6,25 baldosas= 3,813Kg</t>
  </si>
  <si>
    <t>1 baldosa= 0,610kg</t>
  </si>
  <si>
    <t>Peso del producto</t>
  </si>
  <si>
    <t>consumo semanal 8 hs diarias 17</t>
  </si>
  <si>
    <t>Piso ciego</t>
  </si>
  <si>
    <t>Piso rejill</t>
  </si>
  <si>
    <t>4 metros =25 baldosas=375kg</t>
  </si>
  <si>
    <t xml:space="preserve">Estado </t>
  </si>
  <si>
    <t xml:space="preserve">Cajas </t>
  </si>
  <si>
    <t>Total</t>
  </si>
  <si>
    <t xml:space="preserve">baldosas restantes </t>
  </si>
  <si>
    <t>total cajas</t>
  </si>
  <si>
    <t xml:space="preserve">Total de baldosas compradas </t>
  </si>
  <si>
    <t>Unidades x caja</t>
  </si>
  <si>
    <t xml:space="preserve">bordes </t>
  </si>
  <si>
    <t xml:space="preserve">esquineros </t>
  </si>
  <si>
    <t>entregado</t>
  </si>
  <si>
    <t xml:space="preserve">fecha </t>
  </si>
  <si>
    <t xml:space="preserve">Piso rejilla negro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</si>
</sst>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1" xfId="0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/>
    <xf numFmtId="1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3" xfId="0" applyFont="1" applyFill="1" applyBorder="1"/>
    <xf numFmtId="0" fontId="2" fillId="0" borderId="5" xfId="0" applyFont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8" xfId="0" applyBorder="1"/>
    <xf numFmtId="0" fontId="0" fillId="0" borderId="15" xfId="0" applyBorder="1" applyAlignment="1">
      <alignment horizontal="center" vertical="center" wrapText="1"/>
    </xf>
    <xf numFmtId="0" fontId="0" fillId="0" borderId="22" xfId="0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 applyAlignment="1">
      <alignment horizontal="left"/>
    </xf>
    <xf numFmtId="0" fontId="0" fillId="0" borderId="5" xfId="0" applyBorder="1"/>
    <xf numFmtId="0" fontId="2" fillId="0" borderId="30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left"/>
    </xf>
    <xf numFmtId="0" fontId="0" fillId="3" borderId="12" xfId="0" applyFont="1" applyFill="1" applyBorder="1"/>
    <xf numFmtId="0" fontId="0" fillId="0" borderId="14" xfId="0" applyFont="1" applyBorder="1"/>
    <xf numFmtId="0" fontId="0" fillId="13" borderId="15" xfId="0" applyFont="1" applyFill="1" applyBorder="1"/>
    <xf numFmtId="0" fontId="0" fillId="3" borderId="17" xfId="0" applyFont="1" applyFill="1" applyBorder="1"/>
    <xf numFmtId="0" fontId="0" fillId="4" borderId="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27" xfId="0" applyBorder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/>
    <xf numFmtId="0" fontId="0" fillId="14" borderId="9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/>
    </xf>
    <xf numFmtId="0" fontId="0" fillId="0" borderId="10" xfId="0" applyBorder="1"/>
    <xf numFmtId="0" fontId="2" fillId="9" borderId="10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2" borderId="15" xfId="0" applyFill="1" applyBorder="1"/>
    <xf numFmtId="0" fontId="0" fillId="12" borderId="1" xfId="0" applyFill="1" applyBorder="1"/>
    <xf numFmtId="0" fontId="0" fillId="17" borderId="1" xfId="0" applyFill="1" applyBorder="1"/>
    <xf numFmtId="0" fontId="0" fillId="12" borderId="2" xfId="0" applyFill="1" applyBorder="1"/>
    <xf numFmtId="164" fontId="0" fillId="15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6" fontId="0" fillId="0" borderId="0" xfId="0" applyNumberFormat="1"/>
    <xf numFmtId="164" fontId="0" fillId="0" borderId="0" xfId="0" applyNumberFormat="1"/>
    <xf numFmtId="164" fontId="0" fillId="0" borderId="0" xfId="0" applyNumberFormat="1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28" xfId="0" applyNumberForma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7" borderId="1" xfId="0" applyFill="1" applyBorder="1" applyAlignment="1">
      <alignment wrapText="1"/>
    </xf>
    <xf numFmtId="164" fontId="0" fillId="14" borderId="1" xfId="0" applyNumberFormat="1" applyFill="1" applyBorder="1" applyAlignment="1">
      <alignment horizontal="center" vertical="center"/>
    </xf>
    <xf numFmtId="0" fontId="0" fillId="0" borderId="17" xfId="0" applyBorder="1"/>
    <xf numFmtId="0" fontId="0" fillId="12" borderId="15" xfId="0" applyFill="1" applyBorder="1" applyProtection="1">
      <protection hidden="1"/>
    </xf>
    <xf numFmtId="0" fontId="0" fillId="17" borderId="15" xfId="0" applyFill="1" applyBorder="1"/>
    <xf numFmtId="164" fontId="0" fillId="0" borderId="16" xfId="0" applyNumberFormat="1" applyBorder="1"/>
    <xf numFmtId="0" fontId="0" fillId="0" borderId="21" xfId="0" applyBorder="1"/>
    <xf numFmtId="0" fontId="2" fillId="2" borderId="30" xfId="0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14" borderId="15" xfId="0" applyNumberForma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0" xfId="0" applyAlignment="1">
      <alignment horizontal="left"/>
    </xf>
    <xf numFmtId="165" fontId="0" fillId="2" borderId="28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4" fontId="0" fillId="2" borderId="38" xfId="0" applyNumberFormat="1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15" borderId="1" xfId="0" applyFill="1" applyBorder="1"/>
    <xf numFmtId="164" fontId="0" fillId="15" borderId="1" xfId="0" applyNumberFormat="1" applyFill="1" applyBorder="1"/>
    <xf numFmtId="165" fontId="0" fillId="2" borderId="1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164" fontId="0" fillId="15" borderId="21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/>
    <xf numFmtId="164" fontId="0" fillId="0" borderId="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/>
    </xf>
    <xf numFmtId="164" fontId="0" fillId="2" borderId="39" xfId="0" applyNumberFormat="1" applyFill="1" applyBorder="1" applyAlignment="1">
      <alignment horizontal="center" vertical="center"/>
    </xf>
    <xf numFmtId="164" fontId="0" fillId="0" borderId="8" xfId="0" applyNumberFormat="1" applyBorder="1"/>
    <xf numFmtId="0" fontId="0" fillId="15" borderId="1" xfId="0" applyFill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164" fontId="0" fillId="0" borderId="45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14" borderId="1" xfId="0" applyFill="1" applyBorder="1"/>
    <xf numFmtId="0" fontId="9" fillId="14" borderId="1" xfId="0" applyFont="1" applyFill="1" applyBorder="1"/>
    <xf numFmtId="0" fontId="0" fillId="0" borderId="0" xfId="0" applyAlignment="1">
      <alignment horizontal="left"/>
    </xf>
    <xf numFmtId="0" fontId="0" fillId="1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8" xfId="0" applyBorder="1"/>
    <xf numFmtId="0" fontId="0" fillId="14" borderId="38" xfId="0" applyFill="1" applyBorder="1"/>
    <xf numFmtId="0" fontId="0" fillId="14" borderId="2" xfId="0" applyFill="1" applyBorder="1"/>
    <xf numFmtId="0" fontId="0" fillId="0" borderId="24" xfId="0" applyBorder="1"/>
    <xf numFmtId="0" fontId="0" fillId="14" borderId="25" xfId="0" applyFill="1" applyBorder="1"/>
    <xf numFmtId="0" fontId="0" fillId="0" borderId="24" xfId="0" applyBorder="1" applyAlignment="1">
      <alignment wrapText="1"/>
    </xf>
    <xf numFmtId="0" fontId="0" fillId="0" borderId="25" xfId="0" applyBorder="1"/>
    <xf numFmtId="0" fontId="9" fillId="14" borderId="2" xfId="0" applyFont="1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2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18" borderId="3" xfId="0" applyFill="1" applyBorder="1" applyAlignment="1">
      <alignment horizontal="right" vertical="center"/>
    </xf>
    <xf numFmtId="0" fontId="0" fillId="18" borderId="4" xfId="0" applyFill="1" applyBorder="1" applyAlignment="1">
      <alignment horizontal="right" vertical="center"/>
    </xf>
    <xf numFmtId="0" fontId="0" fillId="18" borderId="5" xfId="0" applyFill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8" borderId="40" xfId="0" applyFill="1" applyBorder="1" applyAlignment="1">
      <alignment horizontal="right" vertical="center"/>
    </xf>
    <xf numFmtId="0" fontId="0" fillId="18" borderId="41" xfId="0" applyFill="1" applyBorder="1" applyAlignment="1">
      <alignment horizontal="right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16" borderId="9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/>
    </xf>
    <xf numFmtId="0" fontId="0" fillId="17" borderId="34" xfId="0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3"/>
  <sheetViews>
    <sheetView topLeftCell="A22" workbookViewId="0">
      <selection activeCell="C28" sqref="C28:C30"/>
    </sheetView>
  </sheetViews>
  <sheetFormatPr baseColWidth="10" defaultColWidth="9.140625" defaultRowHeight="15" x14ac:dyDescent="0.25"/>
  <cols>
    <col min="1" max="1" width="4.140625" customWidth="1"/>
    <col min="2" max="2" width="25.85546875" customWidth="1"/>
    <col min="3" max="3" width="21.7109375" customWidth="1"/>
    <col min="4" max="4" width="25" customWidth="1"/>
    <col min="5" max="5" width="22.5703125" customWidth="1"/>
    <col min="6" max="6" width="18.7109375" customWidth="1"/>
    <col min="7" max="7" width="20.140625" customWidth="1"/>
    <col min="8" max="8" width="20.85546875" customWidth="1"/>
    <col min="9" max="9" width="20.5703125" customWidth="1"/>
    <col min="10" max="11" width="20.7109375" customWidth="1"/>
    <col min="12" max="12" width="46.42578125" customWidth="1"/>
    <col min="13" max="13" width="32.85546875" customWidth="1"/>
    <col min="14" max="14" width="33.42578125" customWidth="1"/>
    <col min="15" max="15" width="10.28515625" customWidth="1"/>
    <col min="16" max="16" width="19.5703125" customWidth="1"/>
    <col min="18" max="18" width="51.42578125" customWidth="1"/>
    <col min="19" max="19" width="24.42578125" customWidth="1"/>
    <col min="20" max="20" width="19.85546875" customWidth="1"/>
    <col min="21" max="21" width="8.140625" customWidth="1"/>
  </cols>
  <sheetData>
    <row r="2" spans="2:21" ht="26.25" x14ac:dyDescent="0.4">
      <c r="B2" s="166" t="s">
        <v>201</v>
      </c>
      <c r="C2" s="167"/>
      <c r="D2" s="167"/>
      <c r="E2" s="167"/>
      <c r="F2" s="167"/>
    </row>
    <row r="3" spans="2:21" x14ac:dyDescent="0.25">
      <c r="C3" s="3"/>
      <c r="D3" s="3"/>
      <c r="E3" s="3"/>
      <c r="F3" s="3"/>
      <c r="G3" s="3"/>
      <c r="H3" s="3"/>
    </row>
    <row r="4" spans="2:21" ht="15.75" thickBot="1" x14ac:dyDescent="0.3"/>
    <row r="5" spans="2:21" ht="24" thickBot="1" x14ac:dyDescent="0.4">
      <c r="B5" s="168" t="s">
        <v>222</v>
      </c>
      <c r="C5" s="169"/>
      <c r="D5" s="169"/>
      <c r="E5" s="169"/>
      <c r="F5" s="169"/>
      <c r="G5" s="169"/>
      <c r="H5" s="169"/>
      <c r="I5" s="169"/>
      <c r="J5" s="170"/>
      <c r="K5" s="67"/>
      <c r="M5" s="171" t="s">
        <v>173</v>
      </c>
      <c r="N5" s="171"/>
      <c r="O5" s="156"/>
      <c r="P5" s="156"/>
      <c r="R5" s="171" t="s">
        <v>174</v>
      </c>
      <c r="S5" s="171"/>
    </row>
    <row r="6" spans="2:21" ht="15.75" thickBot="1" x14ac:dyDescent="0.3">
      <c r="B6" s="99"/>
      <c r="C6" s="56" t="s">
        <v>168</v>
      </c>
      <c r="D6" s="56" t="s">
        <v>167</v>
      </c>
      <c r="E6" s="81" t="s">
        <v>196</v>
      </c>
      <c r="F6" s="96" t="s">
        <v>50</v>
      </c>
      <c r="G6" s="100" t="s">
        <v>197</v>
      </c>
      <c r="H6" s="56" t="s">
        <v>162</v>
      </c>
      <c r="I6" s="56" t="s">
        <v>163</v>
      </c>
      <c r="J6" s="101" t="s">
        <v>219</v>
      </c>
      <c r="K6" s="30"/>
      <c r="M6" s="60">
        <v>0.16</v>
      </c>
      <c r="N6" s="60" t="s">
        <v>164</v>
      </c>
      <c r="O6" s="30"/>
      <c r="P6" s="30"/>
      <c r="R6" s="60">
        <v>0.16</v>
      </c>
      <c r="S6" s="60" t="s">
        <v>164</v>
      </c>
    </row>
    <row r="7" spans="2:21" x14ac:dyDescent="0.25">
      <c r="B7" s="102" t="s">
        <v>191</v>
      </c>
      <c r="C7" s="87">
        <v>50</v>
      </c>
      <c r="D7" s="14" t="s">
        <v>14</v>
      </c>
      <c r="E7" s="92">
        <f>N9*C7</f>
        <v>190.625</v>
      </c>
      <c r="F7" s="87" t="s">
        <v>50</v>
      </c>
      <c r="G7" s="92">
        <f>N14*E7</f>
        <v>2.859375</v>
      </c>
      <c r="H7" s="15">
        <f>C7/M6</f>
        <v>312.5</v>
      </c>
      <c r="I7" s="134">
        <f>H7/8</f>
        <v>39.0625</v>
      </c>
      <c r="J7" s="143">
        <f>N8*H7</f>
        <v>190.625</v>
      </c>
      <c r="K7" s="68"/>
      <c r="M7" s="60">
        <v>8</v>
      </c>
      <c r="N7" s="60" t="s">
        <v>166</v>
      </c>
      <c r="O7" s="30"/>
      <c r="P7" s="30"/>
      <c r="R7" s="60">
        <v>25</v>
      </c>
      <c r="S7" s="60" t="s">
        <v>165</v>
      </c>
    </row>
    <row r="8" spans="2:21" x14ac:dyDescent="0.25">
      <c r="B8" s="102" t="s">
        <v>207</v>
      </c>
      <c r="C8" s="87">
        <v>1</v>
      </c>
      <c r="D8" s="14" t="s">
        <v>14</v>
      </c>
      <c r="E8" s="92">
        <f>(S10*C8)/2</f>
        <v>5.8749999999999997E-2</v>
      </c>
      <c r="F8" s="87" t="s">
        <v>50</v>
      </c>
      <c r="G8" s="92">
        <f>N14*E8</f>
        <v>8.8124999999999987E-4</v>
      </c>
      <c r="H8" s="15">
        <f>C8</f>
        <v>1</v>
      </c>
      <c r="I8" s="15">
        <v>0</v>
      </c>
      <c r="J8" s="98">
        <f>J9*C8</f>
        <v>1.4E-2</v>
      </c>
      <c r="K8" s="68"/>
      <c r="M8" s="60" t="s">
        <v>172</v>
      </c>
      <c r="N8" s="79">
        <v>0.61</v>
      </c>
      <c r="O8" s="139"/>
      <c r="P8" s="139"/>
      <c r="R8" s="60" t="s">
        <v>172</v>
      </c>
      <c r="S8" s="79">
        <v>0.61</v>
      </c>
    </row>
    <row r="9" spans="2:21" ht="15.75" thickBot="1" x14ac:dyDescent="0.3">
      <c r="B9" s="103" t="s">
        <v>208</v>
      </c>
      <c r="C9" s="88">
        <v>1</v>
      </c>
      <c r="D9" s="32" t="s">
        <v>14</v>
      </c>
      <c r="E9" s="93">
        <f>(S11*C9)/4</f>
        <v>5.0000000000000001E-3</v>
      </c>
      <c r="F9" s="88" t="s">
        <v>50</v>
      </c>
      <c r="G9" s="128">
        <f>N14*E9</f>
        <v>7.4999999999999993E-5</v>
      </c>
      <c r="H9" s="129">
        <v>0</v>
      </c>
      <c r="I9" s="129">
        <v>0</v>
      </c>
      <c r="J9" s="130">
        <f>O16*C9</f>
        <v>1.4E-2</v>
      </c>
      <c r="K9" s="68"/>
      <c r="M9" s="60" t="s">
        <v>171</v>
      </c>
      <c r="N9" s="79">
        <f>(N8*25)/4</f>
        <v>3.8125</v>
      </c>
      <c r="O9" s="139"/>
      <c r="P9" s="139"/>
      <c r="R9" s="60" t="s">
        <v>171</v>
      </c>
      <c r="S9" s="79">
        <f>(S8*25)/4</f>
        <v>3.8125</v>
      </c>
    </row>
    <row r="10" spans="2:21" x14ac:dyDescent="0.25">
      <c r="B10" s="104"/>
      <c r="C10" s="104"/>
      <c r="D10" s="104"/>
      <c r="E10" s="104"/>
      <c r="F10" s="104"/>
      <c r="G10" s="172" t="s">
        <v>205</v>
      </c>
      <c r="H10" s="173"/>
      <c r="I10" s="173"/>
      <c r="J10" s="136">
        <f>S13*I7</f>
        <v>602.34375</v>
      </c>
      <c r="K10" s="104"/>
      <c r="M10" s="155" t="s">
        <v>199</v>
      </c>
      <c r="N10" s="80">
        <f>N15/2</f>
        <v>0.11749999999999999</v>
      </c>
      <c r="O10" s="140"/>
      <c r="P10" s="140"/>
      <c r="Q10" s="154"/>
      <c r="R10" s="60" t="s">
        <v>199</v>
      </c>
      <c r="S10" s="138">
        <f>N10</f>
        <v>0.11749999999999999</v>
      </c>
      <c r="T10" s="1" t="s">
        <v>215</v>
      </c>
      <c r="U10" s="1">
        <v>0.11</v>
      </c>
    </row>
    <row r="11" spans="2:21" ht="15.75" thickBot="1" x14ac:dyDescent="0.3">
      <c r="B11" s="104"/>
      <c r="C11" s="104"/>
      <c r="D11" s="104"/>
      <c r="E11" s="104"/>
      <c r="F11" s="104"/>
      <c r="G11" s="174" t="s">
        <v>206</v>
      </c>
      <c r="H11" s="175"/>
      <c r="I11" s="175"/>
      <c r="J11" s="122">
        <f>I7*S14</f>
        <v>585.3515625</v>
      </c>
      <c r="K11" s="104"/>
      <c r="M11" s="60" t="s">
        <v>200</v>
      </c>
      <c r="N11" s="80">
        <f>N16/4</f>
        <v>0.02</v>
      </c>
      <c r="O11" s="140"/>
      <c r="P11" s="140"/>
      <c r="Q11" s="154"/>
      <c r="R11" s="60" t="s">
        <v>175</v>
      </c>
      <c r="S11" s="138">
        <f>N11</f>
        <v>0.02</v>
      </c>
      <c r="T11" s="1" t="s">
        <v>215</v>
      </c>
      <c r="U11" s="1">
        <v>1.7999999999999999E-2</v>
      </c>
    </row>
    <row r="12" spans="2:21" ht="15.75" thickBot="1" x14ac:dyDescent="0.3">
      <c r="B12" s="104"/>
      <c r="C12" s="104"/>
      <c r="D12" s="104"/>
      <c r="E12" s="104"/>
      <c r="F12" s="104"/>
      <c r="G12" s="176" t="s">
        <v>202</v>
      </c>
      <c r="H12" s="177"/>
      <c r="I12" s="177"/>
      <c r="J12" s="178"/>
      <c r="K12" s="104"/>
      <c r="M12" s="60"/>
      <c r="N12" s="80"/>
      <c r="O12" s="140"/>
      <c r="P12" s="140"/>
      <c r="Q12" s="154"/>
      <c r="R12" s="60"/>
      <c r="S12" s="79"/>
    </row>
    <row r="13" spans="2:21" ht="24" thickBot="1" x14ac:dyDescent="0.3">
      <c r="B13" s="104"/>
      <c r="C13" s="105"/>
      <c r="D13" s="105"/>
      <c r="E13" s="105"/>
      <c r="F13" s="105"/>
      <c r="G13" s="105"/>
      <c r="H13" s="105"/>
      <c r="I13" s="104"/>
      <c r="J13" s="104"/>
      <c r="K13" s="104"/>
      <c r="M13" s="60" t="s">
        <v>181</v>
      </c>
      <c r="N13" s="133"/>
      <c r="O13" s="141"/>
      <c r="P13" s="141"/>
      <c r="R13" s="60" t="s">
        <v>211</v>
      </c>
      <c r="S13" s="133">
        <v>15.42</v>
      </c>
    </row>
    <row r="14" spans="2:21" ht="24" thickBot="1" x14ac:dyDescent="0.3">
      <c r="B14" s="179" t="s">
        <v>221</v>
      </c>
      <c r="C14" s="180"/>
      <c r="D14" s="180"/>
      <c r="E14" s="180"/>
      <c r="F14" s="180"/>
      <c r="G14" s="180"/>
      <c r="H14" s="180"/>
      <c r="I14" s="180"/>
      <c r="J14" s="180"/>
      <c r="K14" s="181"/>
      <c r="M14" s="155" t="s">
        <v>192</v>
      </c>
      <c r="N14" s="80">
        <v>1.4999999999999999E-2</v>
      </c>
      <c r="O14" s="140"/>
      <c r="P14" s="140"/>
      <c r="R14" s="60" t="s">
        <v>212</v>
      </c>
      <c r="S14" s="132">
        <v>14.984999999999999</v>
      </c>
    </row>
    <row r="15" spans="2:21" ht="24" thickBot="1" x14ac:dyDescent="0.3">
      <c r="B15" s="106"/>
      <c r="C15" s="81" t="s">
        <v>52</v>
      </c>
      <c r="D15" s="81" t="s">
        <v>6</v>
      </c>
      <c r="E15" s="81" t="s">
        <v>196</v>
      </c>
      <c r="F15" s="95" t="s">
        <v>7</v>
      </c>
      <c r="G15" s="95" t="s">
        <v>196</v>
      </c>
      <c r="H15" s="107" t="s">
        <v>197</v>
      </c>
      <c r="I15" s="81" t="s">
        <v>162</v>
      </c>
      <c r="J15" s="81" t="s">
        <v>163</v>
      </c>
      <c r="K15" s="108" t="s">
        <v>180</v>
      </c>
      <c r="M15" s="155" t="s">
        <v>176</v>
      </c>
      <c r="N15" s="80">
        <v>0.23499999999999999</v>
      </c>
      <c r="O15" s="150">
        <v>9.2999999999999999E-2</v>
      </c>
      <c r="P15" s="142" t="s">
        <v>214</v>
      </c>
    </row>
    <row r="16" spans="2:21" ht="35.25" customHeight="1" x14ac:dyDescent="0.25">
      <c r="B16" s="109" t="s">
        <v>191</v>
      </c>
      <c r="C16" s="89">
        <v>10</v>
      </c>
      <c r="D16" s="82" t="s">
        <v>8</v>
      </c>
      <c r="E16" s="94">
        <f>(N9*C16)/2</f>
        <v>19.0625</v>
      </c>
      <c r="F16" s="96" t="s">
        <v>11</v>
      </c>
      <c r="G16" s="97">
        <f>E16</f>
        <v>19.0625</v>
      </c>
      <c r="H16" s="94">
        <f>(N14*E16)*2</f>
        <v>0.57187500000000002</v>
      </c>
      <c r="I16" s="97">
        <f>6.25*C16</f>
        <v>62.5</v>
      </c>
      <c r="J16" s="126">
        <f>I16/8</f>
        <v>7.8125</v>
      </c>
      <c r="K16" s="135">
        <f>N17*J16</f>
        <v>41.7578125</v>
      </c>
      <c r="M16" s="60" t="s">
        <v>177</v>
      </c>
      <c r="N16" s="80">
        <v>0.08</v>
      </c>
      <c r="O16" s="150">
        <v>1.4E-2</v>
      </c>
      <c r="P16" s="142" t="s">
        <v>214</v>
      </c>
    </row>
    <row r="17" spans="2:16" ht="45" x14ac:dyDescent="0.25">
      <c r="B17" s="110" t="s">
        <v>209</v>
      </c>
      <c r="C17" s="90">
        <v>1</v>
      </c>
      <c r="D17" s="33" t="s">
        <v>8</v>
      </c>
      <c r="E17" s="92">
        <f>(N10*C17)/2</f>
        <v>5.8749999999999997E-2</v>
      </c>
      <c r="F17" s="87" t="s">
        <v>11</v>
      </c>
      <c r="G17" s="92">
        <f>E17</f>
        <v>5.8749999999999997E-2</v>
      </c>
      <c r="H17" s="92">
        <f>(G17+E17)*N14</f>
        <v>1.7624999999999997E-3</v>
      </c>
      <c r="I17" s="15">
        <f>C17</f>
        <v>1</v>
      </c>
      <c r="J17" s="15">
        <v>0</v>
      </c>
      <c r="K17" s="143">
        <f>O15*C17</f>
        <v>9.2999999999999999E-2</v>
      </c>
      <c r="M17" s="60" t="s">
        <v>213</v>
      </c>
      <c r="N17" s="80">
        <v>5.3449999999999998</v>
      </c>
      <c r="O17" s="140"/>
      <c r="P17" s="140"/>
    </row>
    <row r="18" spans="2:16" ht="45.75" thickBot="1" x14ac:dyDescent="0.3">
      <c r="B18" s="111" t="s">
        <v>210</v>
      </c>
      <c r="C18" s="91">
        <v>1</v>
      </c>
      <c r="D18" s="36" t="s">
        <v>8</v>
      </c>
      <c r="E18" s="93">
        <f>(N11*C18)/4</f>
        <v>5.0000000000000001E-3</v>
      </c>
      <c r="F18" s="137" t="s">
        <v>11</v>
      </c>
      <c r="G18" s="128">
        <f>E18</f>
        <v>5.0000000000000001E-3</v>
      </c>
      <c r="H18" s="128">
        <f>(E18+G18)*N14</f>
        <v>1.4999999999999999E-4</v>
      </c>
      <c r="I18" s="129">
        <f>C18</f>
        <v>1</v>
      </c>
      <c r="J18" s="129">
        <v>0</v>
      </c>
      <c r="K18" s="144">
        <f>O16*C18</f>
        <v>1.4E-2</v>
      </c>
    </row>
    <row r="19" spans="2:16" ht="15.75" thickBot="1" x14ac:dyDescent="0.3">
      <c r="F19" s="182" t="s">
        <v>203</v>
      </c>
      <c r="G19" s="183"/>
      <c r="H19" s="183"/>
      <c r="I19" s="183"/>
      <c r="J19" s="184"/>
      <c r="K19" s="131">
        <f>J16*N17</f>
        <v>41.7578125</v>
      </c>
      <c r="M19" s="147" t="s">
        <v>223</v>
      </c>
    </row>
    <row r="20" spans="2:16" ht="15.75" thickBot="1" x14ac:dyDescent="0.3">
      <c r="J20" t="s">
        <v>216</v>
      </c>
      <c r="K20" s="145">
        <f>SUM(K17:K19)</f>
        <v>41.864812499999999</v>
      </c>
      <c r="M20" s="148" t="s">
        <v>218</v>
      </c>
    </row>
    <row r="21" spans="2:16" ht="15.75" thickBot="1" x14ac:dyDescent="0.3">
      <c r="H21" s="185" t="s">
        <v>202</v>
      </c>
      <c r="I21" s="186"/>
      <c r="J21" s="186"/>
      <c r="K21" s="178"/>
      <c r="M21" s="149" t="s">
        <v>217</v>
      </c>
    </row>
    <row r="22" spans="2:16" ht="24" thickBot="1" x14ac:dyDescent="0.3">
      <c r="B22" s="123" t="s">
        <v>204</v>
      </c>
      <c r="C22" s="124"/>
      <c r="D22" s="124"/>
      <c r="E22" s="44"/>
      <c r="M22" s="31" t="s">
        <v>220</v>
      </c>
    </row>
    <row r="23" spans="2:16" x14ac:dyDescent="0.25">
      <c r="C23" s="165"/>
      <c r="D23" s="165"/>
      <c r="E23" s="165"/>
    </row>
    <row r="24" spans="2:16" x14ac:dyDescent="0.25">
      <c r="C24" s="31"/>
      <c r="D24" s="30"/>
      <c r="E24" s="85"/>
    </row>
    <row r="25" spans="2:16" x14ac:dyDescent="0.25">
      <c r="C25" s="165"/>
      <c r="D25" s="86"/>
      <c r="E25" s="85"/>
    </row>
    <row r="26" spans="2:16" x14ac:dyDescent="0.25">
      <c r="C26" s="165"/>
      <c r="D26" s="30"/>
      <c r="E26" s="85"/>
    </row>
    <row r="27" spans="2:16" ht="21" x14ac:dyDescent="0.35">
      <c r="B27" s="153" t="s">
        <v>225</v>
      </c>
      <c r="C27" s="153" t="s">
        <v>230</v>
      </c>
      <c r="D27" s="153" t="s">
        <v>226</v>
      </c>
      <c r="E27" s="153" t="s">
        <v>224</v>
      </c>
      <c r="H27" s="83"/>
    </row>
    <row r="28" spans="2:16" x14ac:dyDescent="0.25">
      <c r="B28" s="1"/>
      <c r="C28" s="1"/>
      <c r="D28" s="152">
        <f>C28*B28</f>
        <v>0</v>
      </c>
      <c r="E28" s="4" t="s">
        <v>233</v>
      </c>
    </row>
    <row r="29" spans="2:16" x14ac:dyDescent="0.25">
      <c r="B29" s="1"/>
      <c r="C29" s="1"/>
      <c r="D29" s="152">
        <f t="shared" ref="D29:D47" si="0">C29*B29</f>
        <v>0</v>
      </c>
      <c r="E29" s="4" t="s">
        <v>233</v>
      </c>
      <c r="G29" s="84"/>
    </row>
    <row r="30" spans="2:16" x14ac:dyDescent="0.25">
      <c r="B30" s="1"/>
      <c r="C30" s="1"/>
      <c r="D30" s="152">
        <f t="shared" si="0"/>
        <v>0</v>
      </c>
      <c r="E30" s="4"/>
    </row>
    <row r="31" spans="2:16" x14ac:dyDescent="0.25">
      <c r="B31" s="1"/>
      <c r="C31" s="1">
        <v>0</v>
      </c>
      <c r="D31" s="152">
        <f t="shared" si="0"/>
        <v>0</v>
      </c>
      <c r="E31" s="4"/>
    </row>
    <row r="32" spans="2:16" x14ac:dyDescent="0.25">
      <c r="B32" s="1"/>
      <c r="C32" s="1">
        <v>0</v>
      </c>
      <c r="D32" s="152">
        <f t="shared" si="0"/>
        <v>0</v>
      </c>
      <c r="E32" s="4"/>
    </row>
    <row r="33" spans="2:5" x14ac:dyDescent="0.25">
      <c r="B33" s="1"/>
      <c r="C33" s="1">
        <v>0</v>
      </c>
      <c r="D33" s="152">
        <f t="shared" si="0"/>
        <v>0</v>
      </c>
      <c r="E33" s="4"/>
    </row>
    <row r="34" spans="2:5" x14ac:dyDescent="0.25">
      <c r="B34" s="1"/>
      <c r="C34" s="1">
        <v>0</v>
      </c>
      <c r="D34" s="152">
        <f t="shared" si="0"/>
        <v>0</v>
      </c>
      <c r="E34" s="4"/>
    </row>
    <row r="35" spans="2:5" x14ac:dyDescent="0.25">
      <c r="B35" s="1"/>
      <c r="C35" s="1">
        <v>0</v>
      </c>
      <c r="D35" s="152">
        <f t="shared" si="0"/>
        <v>0</v>
      </c>
      <c r="E35" s="4"/>
    </row>
    <row r="36" spans="2:5" x14ac:dyDescent="0.25">
      <c r="B36" s="1"/>
      <c r="C36" s="1">
        <v>0</v>
      </c>
      <c r="D36" s="152">
        <f t="shared" si="0"/>
        <v>0</v>
      </c>
      <c r="E36" s="4"/>
    </row>
    <row r="37" spans="2:5" x14ac:dyDescent="0.25">
      <c r="B37" s="1"/>
      <c r="C37" s="1">
        <v>0</v>
      </c>
      <c r="D37" s="152">
        <f t="shared" si="0"/>
        <v>0</v>
      </c>
      <c r="E37" s="4"/>
    </row>
    <row r="38" spans="2:5" x14ac:dyDescent="0.25">
      <c r="B38" s="1"/>
      <c r="C38" s="1">
        <v>0</v>
      </c>
      <c r="D38" s="152">
        <f t="shared" si="0"/>
        <v>0</v>
      </c>
      <c r="E38" s="4"/>
    </row>
    <row r="39" spans="2:5" x14ac:dyDescent="0.25">
      <c r="B39" s="1"/>
      <c r="C39" s="1">
        <v>0</v>
      </c>
      <c r="D39" s="152">
        <f t="shared" si="0"/>
        <v>0</v>
      </c>
      <c r="E39" s="4"/>
    </row>
    <row r="40" spans="2:5" x14ac:dyDescent="0.25">
      <c r="B40" s="1"/>
      <c r="C40" s="1">
        <v>0</v>
      </c>
      <c r="D40" s="152">
        <f t="shared" si="0"/>
        <v>0</v>
      </c>
      <c r="E40" s="4"/>
    </row>
    <row r="41" spans="2:5" x14ac:dyDescent="0.25">
      <c r="B41" s="1"/>
      <c r="C41" s="1">
        <v>0</v>
      </c>
      <c r="D41" s="152">
        <f t="shared" si="0"/>
        <v>0</v>
      </c>
      <c r="E41" s="4"/>
    </row>
    <row r="42" spans="2:5" x14ac:dyDescent="0.25">
      <c r="B42" s="1"/>
      <c r="C42" s="1">
        <v>0</v>
      </c>
      <c r="D42" s="152">
        <f t="shared" si="0"/>
        <v>0</v>
      </c>
      <c r="E42" s="4"/>
    </row>
    <row r="43" spans="2:5" x14ac:dyDescent="0.25">
      <c r="B43" s="1"/>
      <c r="C43" s="1">
        <v>0</v>
      </c>
      <c r="D43" s="152">
        <f t="shared" si="0"/>
        <v>0</v>
      </c>
      <c r="E43" s="4"/>
    </row>
    <row r="44" spans="2:5" x14ac:dyDescent="0.25">
      <c r="B44" s="1"/>
      <c r="C44" s="1">
        <v>0</v>
      </c>
      <c r="D44" s="152">
        <f t="shared" si="0"/>
        <v>0</v>
      </c>
      <c r="E44" s="4"/>
    </row>
    <row r="45" spans="2:5" x14ac:dyDescent="0.25">
      <c r="B45" s="1"/>
      <c r="C45" s="1">
        <v>0</v>
      </c>
      <c r="D45" s="152">
        <f t="shared" si="0"/>
        <v>0</v>
      </c>
      <c r="E45" s="4"/>
    </row>
    <row r="46" spans="2:5" x14ac:dyDescent="0.25">
      <c r="B46" s="1"/>
      <c r="C46" s="1">
        <v>0</v>
      </c>
      <c r="D46" s="152">
        <f t="shared" si="0"/>
        <v>0</v>
      </c>
      <c r="E46" s="4"/>
    </row>
    <row r="47" spans="2:5" x14ac:dyDescent="0.25">
      <c r="B47" s="1"/>
      <c r="C47" s="1">
        <v>0</v>
      </c>
      <c r="D47" s="152">
        <f t="shared" si="0"/>
        <v>0</v>
      </c>
      <c r="E47" s="4"/>
    </row>
    <row r="48" spans="2:5" x14ac:dyDescent="0.25">
      <c r="C48" s="1" t="s">
        <v>228</v>
      </c>
      <c r="D48" s="152">
        <f>SUM(D28:D47)</f>
        <v>0</v>
      </c>
      <c r="E48" s="4"/>
    </row>
    <row r="49" spans="2:5" x14ac:dyDescent="0.25">
      <c r="C49" s="1" t="s">
        <v>227</v>
      </c>
      <c r="D49" s="152">
        <f>C53-D48</f>
        <v>350</v>
      </c>
      <c r="E49" s="4"/>
    </row>
    <row r="50" spans="2:5" x14ac:dyDescent="0.25">
      <c r="C50" s="1" t="s">
        <v>231</v>
      </c>
      <c r="D50" s="1">
        <v>9</v>
      </c>
      <c r="E50" s="4" t="s">
        <v>233</v>
      </c>
    </row>
    <row r="51" spans="2:5" x14ac:dyDescent="0.25">
      <c r="C51" s="1" t="s">
        <v>232</v>
      </c>
      <c r="D51" s="1"/>
      <c r="E51" s="4"/>
    </row>
    <row r="53" spans="2:5" ht="30" x14ac:dyDescent="0.25">
      <c r="B53" s="151" t="s">
        <v>229</v>
      </c>
      <c r="C53" s="1">
        <v>350</v>
      </c>
    </row>
  </sheetData>
  <mergeCells count="12">
    <mergeCell ref="C25:C26"/>
    <mergeCell ref="B2:F2"/>
    <mergeCell ref="B5:J5"/>
    <mergeCell ref="M5:N5"/>
    <mergeCell ref="R5:S5"/>
    <mergeCell ref="G10:I10"/>
    <mergeCell ref="G11:I11"/>
    <mergeCell ref="G12:J12"/>
    <mergeCell ref="B14:K14"/>
    <mergeCell ref="F19:J19"/>
    <mergeCell ref="H21:K21"/>
    <mergeCell ref="C23:E2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Hoja2!#REF!</xm:f>
          </x14:formula1>
          <xm:sqref>F16:F18 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3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4.140625" customWidth="1"/>
    <col min="2" max="2" width="25.85546875" customWidth="1"/>
    <col min="3" max="3" width="21.7109375" customWidth="1"/>
    <col min="4" max="4" width="25" customWidth="1"/>
    <col min="5" max="5" width="22.5703125" customWidth="1"/>
    <col min="6" max="6" width="18.7109375" customWidth="1"/>
    <col min="7" max="7" width="20.140625" customWidth="1"/>
    <col min="8" max="8" width="20.85546875" customWidth="1"/>
    <col min="9" max="9" width="20.5703125" customWidth="1"/>
    <col min="10" max="11" width="20.7109375" customWidth="1"/>
    <col min="12" max="12" width="46.42578125" customWidth="1"/>
    <col min="13" max="13" width="32.85546875" customWidth="1"/>
    <col min="14" max="14" width="33.42578125" customWidth="1"/>
    <col min="15" max="15" width="10.28515625" customWidth="1"/>
    <col min="16" max="16" width="19.5703125" customWidth="1"/>
    <col min="18" max="18" width="51.42578125" customWidth="1"/>
    <col min="19" max="19" width="24.42578125" customWidth="1"/>
    <col min="20" max="20" width="19.85546875" customWidth="1"/>
    <col min="21" max="21" width="8.140625" customWidth="1"/>
  </cols>
  <sheetData>
    <row r="2" spans="2:21" ht="26.25" x14ac:dyDescent="0.4">
      <c r="B2" s="166" t="s">
        <v>201</v>
      </c>
      <c r="C2" s="167"/>
      <c r="D2" s="167"/>
      <c r="E2" s="167"/>
      <c r="F2" s="167"/>
    </row>
    <row r="3" spans="2:21" x14ac:dyDescent="0.25">
      <c r="C3" s="3"/>
      <c r="D3" s="3"/>
      <c r="E3" s="3"/>
      <c r="F3" s="3"/>
      <c r="G3" s="3"/>
      <c r="H3" s="3"/>
    </row>
    <row r="4" spans="2:21" ht="15.75" thickBot="1" x14ac:dyDescent="0.3"/>
    <row r="5" spans="2:21" ht="24" thickBot="1" x14ac:dyDescent="0.4">
      <c r="B5" s="168" t="s">
        <v>222</v>
      </c>
      <c r="C5" s="169"/>
      <c r="D5" s="169"/>
      <c r="E5" s="169"/>
      <c r="F5" s="169"/>
      <c r="G5" s="169"/>
      <c r="H5" s="169"/>
      <c r="I5" s="169"/>
      <c r="J5" s="170"/>
      <c r="K5" s="67"/>
      <c r="M5" s="171" t="s">
        <v>173</v>
      </c>
      <c r="N5" s="171"/>
      <c r="O5" s="127"/>
      <c r="P5" s="127"/>
      <c r="R5" s="171" t="s">
        <v>174</v>
      </c>
      <c r="S5" s="171"/>
    </row>
    <row r="6" spans="2:21" ht="15.75" thickBot="1" x14ac:dyDescent="0.3">
      <c r="B6" s="99"/>
      <c r="C6" s="56" t="s">
        <v>168</v>
      </c>
      <c r="D6" s="56" t="s">
        <v>167</v>
      </c>
      <c r="E6" s="81" t="s">
        <v>196</v>
      </c>
      <c r="F6" s="96" t="s">
        <v>50</v>
      </c>
      <c r="G6" s="100" t="s">
        <v>197</v>
      </c>
      <c r="H6" s="56" t="s">
        <v>162</v>
      </c>
      <c r="I6" s="56" t="s">
        <v>163</v>
      </c>
      <c r="J6" s="101" t="s">
        <v>219</v>
      </c>
      <c r="K6" s="30"/>
      <c r="M6" s="60">
        <v>0.16</v>
      </c>
      <c r="N6" s="60" t="s">
        <v>164</v>
      </c>
      <c r="O6" s="30"/>
      <c r="P6" s="30"/>
      <c r="R6" s="60">
        <v>0.16</v>
      </c>
      <c r="S6" s="60" t="s">
        <v>164</v>
      </c>
    </row>
    <row r="7" spans="2:21" x14ac:dyDescent="0.25">
      <c r="B7" s="102" t="s">
        <v>191</v>
      </c>
      <c r="C7" s="87">
        <v>52</v>
      </c>
      <c r="D7" s="14" t="s">
        <v>14</v>
      </c>
      <c r="E7" s="92">
        <f>N9*C7</f>
        <v>198.25</v>
      </c>
      <c r="F7" s="87" t="s">
        <v>50</v>
      </c>
      <c r="G7" s="92">
        <f>N14*E7</f>
        <v>2.9737499999999999</v>
      </c>
      <c r="H7" s="15">
        <f>C7/M6</f>
        <v>325</v>
      </c>
      <c r="I7" s="134">
        <f>H7/8</f>
        <v>40.625</v>
      </c>
      <c r="J7" s="143">
        <f>N8*H7</f>
        <v>198.25</v>
      </c>
      <c r="K7" s="68"/>
      <c r="M7" s="60">
        <v>8</v>
      </c>
      <c r="N7" s="60" t="s">
        <v>166</v>
      </c>
      <c r="O7" s="30"/>
      <c r="P7" s="30"/>
      <c r="R7" s="60">
        <v>25</v>
      </c>
      <c r="S7" s="60" t="s">
        <v>165</v>
      </c>
    </row>
    <row r="8" spans="2:21" x14ac:dyDescent="0.25">
      <c r="B8" s="102" t="s">
        <v>207</v>
      </c>
      <c r="C8" s="87">
        <v>1</v>
      </c>
      <c r="D8" s="14" t="s">
        <v>14</v>
      </c>
      <c r="E8" s="92">
        <f>(S10*C8)/2</f>
        <v>5.8749999999999997E-2</v>
      </c>
      <c r="F8" s="87" t="s">
        <v>50</v>
      </c>
      <c r="G8" s="92">
        <f>N14*E8</f>
        <v>8.8124999999999987E-4</v>
      </c>
      <c r="H8" s="15">
        <f>C8</f>
        <v>1</v>
      </c>
      <c r="I8" s="15">
        <v>0</v>
      </c>
      <c r="J8" s="98">
        <f>J9*C8</f>
        <v>1.4E-2</v>
      </c>
      <c r="K8" s="68"/>
      <c r="M8" s="60" t="s">
        <v>172</v>
      </c>
      <c r="N8" s="79">
        <v>0.61</v>
      </c>
      <c r="O8" s="139"/>
      <c r="P8" s="139"/>
      <c r="R8" s="60" t="s">
        <v>172</v>
      </c>
      <c r="S8" s="79">
        <v>0.61</v>
      </c>
    </row>
    <row r="9" spans="2:21" ht="15.75" thickBot="1" x14ac:dyDescent="0.3">
      <c r="B9" s="103" t="s">
        <v>208</v>
      </c>
      <c r="C9" s="88">
        <v>1</v>
      </c>
      <c r="D9" s="32" t="s">
        <v>14</v>
      </c>
      <c r="E9" s="93">
        <f>(S11*C9)/4</f>
        <v>5.0000000000000001E-3</v>
      </c>
      <c r="F9" s="88" t="s">
        <v>50</v>
      </c>
      <c r="G9" s="128">
        <f>N14*E9</f>
        <v>7.4999999999999993E-5</v>
      </c>
      <c r="H9" s="129">
        <v>0</v>
      </c>
      <c r="I9" s="129">
        <v>0</v>
      </c>
      <c r="J9" s="130">
        <f>O16*C9</f>
        <v>1.4E-2</v>
      </c>
      <c r="K9" s="68"/>
      <c r="M9" s="60" t="s">
        <v>171</v>
      </c>
      <c r="N9" s="79">
        <f>(N8*25)/4</f>
        <v>3.8125</v>
      </c>
      <c r="O9" s="139"/>
      <c r="P9" s="139"/>
      <c r="R9" s="60" t="s">
        <v>171</v>
      </c>
      <c r="S9" s="79">
        <f>(S8*25)/4</f>
        <v>3.8125</v>
      </c>
    </row>
    <row r="10" spans="2:21" x14ac:dyDescent="0.25">
      <c r="B10" s="104"/>
      <c r="C10" s="104"/>
      <c r="D10" s="104"/>
      <c r="E10" s="104"/>
      <c r="F10" s="104"/>
      <c r="G10" s="172" t="s">
        <v>205</v>
      </c>
      <c r="H10" s="173"/>
      <c r="I10" s="173"/>
      <c r="J10" s="136">
        <f>S13*I7</f>
        <v>626.4375</v>
      </c>
      <c r="K10" s="104"/>
      <c r="M10" s="146" t="s">
        <v>199</v>
      </c>
      <c r="N10" s="80">
        <f>N15/2</f>
        <v>0.11749999999999999</v>
      </c>
      <c r="O10" s="140"/>
      <c r="P10" s="140"/>
      <c r="Q10" s="18"/>
      <c r="R10" s="60" t="s">
        <v>199</v>
      </c>
      <c r="S10" s="138">
        <f>N10</f>
        <v>0.11749999999999999</v>
      </c>
      <c r="T10" s="1" t="s">
        <v>215</v>
      </c>
      <c r="U10" s="1">
        <v>0.11</v>
      </c>
    </row>
    <row r="11" spans="2:21" ht="15.75" thickBot="1" x14ac:dyDescent="0.3">
      <c r="B11" s="104"/>
      <c r="C11" s="104"/>
      <c r="D11" s="104"/>
      <c r="E11" s="104"/>
      <c r="F11" s="104"/>
      <c r="G11" s="174" t="s">
        <v>206</v>
      </c>
      <c r="H11" s="175"/>
      <c r="I11" s="175"/>
      <c r="J11" s="122">
        <f>I7*S14</f>
        <v>608.765625</v>
      </c>
      <c r="K11" s="104"/>
      <c r="M11" s="60" t="s">
        <v>200</v>
      </c>
      <c r="N11" s="80">
        <f>N16/4</f>
        <v>0.02</v>
      </c>
      <c r="O11" s="140"/>
      <c r="P11" s="140"/>
      <c r="Q11" s="18"/>
      <c r="R11" s="60" t="s">
        <v>175</v>
      </c>
      <c r="S11" s="138">
        <f>N11</f>
        <v>0.02</v>
      </c>
      <c r="T11" s="1" t="s">
        <v>215</v>
      </c>
      <c r="U11" s="1">
        <v>1.7999999999999999E-2</v>
      </c>
    </row>
    <row r="12" spans="2:21" ht="15.75" thickBot="1" x14ac:dyDescent="0.3">
      <c r="B12" s="104"/>
      <c r="C12" s="104"/>
      <c r="D12" s="104"/>
      <c r="E12" s="104"/>
      <c r="F12" s="104"/>
      <c r="G12" s="176" t="s">
        <v>202</v>
      </c>
      <c r="H12" s="177"/>
      <c r="I12" s="177"/>
      <c r="J12" s="178"/>
      <c r="K12" s="104"/>
      <c r="M12" s="60"/>
      <c r="N12" s="80"/>
      <c r="O12" s="140"/>
      <c r="P12" s="140"/>
      <c r="Q12" s="125"/>
      <c r="R12" s="60"/>
      <c r="S12" s="79"/>
    </row>
    <row r="13" spans="2:21" ht="24" thickBot="1" x14ac:dyDescent="0.3">
      <c r="B13" s="104"/>
      <c r="C13" s="105"/>
      <c r="D13" s="105"/>
      <c r="E13" s="105"/>
      <c r="F13" s="105"/>
      <c r="G13" s="105"/>
      <c r="H13" s="105"/>
      <c r="I13" s="104"/>
      <c r="J13" s="104"/>
      <c r="K13" s="104"/>
      <c r="M13" s="60" t="s">
        <v>181</v>
      </c>
      <c r="N13" s="133"/>
      <c r="O13" s="141"/>
      <c r="P13" s="141"/>
      <c r="R13" s="60" t="s">
        <v>211</v>
      </c>
      <c r="S13" s="133">
        <v>15.42</v>
      </c>
    </row>
    <row r="14" spans="2:21" ht="24" thickBot="1" x14ac:dyDescent="0.3">
      <c r="B14" s="179" t="s">
        <v>221</v>
      </c>
      <c r="C14" s="180"/>
      <c r="D14" s="180"/>
      <c r="E14" s="180"/>
      <c r="F14" s="180"/>
      <c r="G14" s="180"/>
      <c r="H14" s="180"/>
      <c r="I14" s="180"/>
      <c r="J14" s="180"/>
      <c r="K14" s="181"/>
      <c r="M14" s="146" t="s">
        <v>192</v>
      </c>
      <c r="N14" s="80">
        <v>1.4999999999999999E-2</v>
      </c>
      <c r="O14" s="140"/>
      <c r="P14" s="140"/>
      <c r="R14" s="60" t="s">
        <v>212</v>
      </c>
      <c r="S14" s="132">
        <v>14.984999999999999</v>
      </c>
    </row>
    <row r="15" spans="2:21" ht="24" thickBot="1" x14ac:dyDescent="0.3">
      <c r="B15" s="106"/>
      <c r="C15" s="81" t="s">
        <v>52</v>
      </c>
      <c r="D15" s="81" t="s">
        <v>6</v>
      </c>
      <c r="E15" s="81" t="s">
        <v>196</v>
      </c>
      <c r="F15" s="95" t="s">
        <v>7</v>
      </c>
      <c r="G15" s="95" t="s">
        <v>196</v>
      </c>
      <c r="H15" s="107" t="s">
        <v>197</v>
      </c>
      <c r="I15" s="81" t="s">
        <v>162</v>
      </c>
      <c r="J15" s="81" t="s">
        <v>163</v>
      </c>
      <c r="K15" s="108" t="s">
        <v>180</v>
      </c>
      <c r="M15" s="146" t="s">
        <v>176</v>
      </c>
      <c r="N15" s="80">
        <v>0.23499999999999999</v>
      </c>
      <c r="O15" s="150">
        <v>9.2999999999999999E-2</v>
      </c>
      <c r="P15" s="142" t="s">
        <v>214</v>
      </c>
    </row>
    <row r="16" spans="2:21" ht="35.25" customHeight="1" x14ac:dyDescent="0.25">
      <c r="B16" s="109" t="s">
        <v>191</v>
      </c>
      <c r="C16" s="89">
        <v>52</v>
      </c>
      <c r="D16" s="82" t="s">
        <v>8</v>
      </c>
      <c r="E16" s="94">
        <f>(N9*C16)/2</f>
        <v>99.125</v>
      </c>
      <c r="F16" s="96" t="s">
        <v>11</v>
      </c>
      <c r="G16" s="97">
        <f>E16</f>
        <v>99.125</v>
      </c>
      <c r="H16" s="94">
        <f>(N14*E16)*2</f>
        <v>2.9737499999999999</v>
      </c>
      <c r="I16" s="97">
        <f>6.25*C16</f>
        <v>325</v>
      </c>
      <c r="J16" s="126">
        <f>I16/8</f>
        <v>40.625</v>
      </c>
      <c r="K16" s="135">
        <f>N17*J16</f>
        <v>217.140625</v>
      </c>
      <c r="M16" s="60" t="s">
        <v>177</v>
      </c>
      <c r="N16" s="80">
        <v>0.08</v>
      </c>
      <c r="O16" s="150">
        <v>1.4E-2</v>
      </c>
      <c r="P16" s="142" t="s">
        <v>214</v>
      </c>
    </row>
    <row r="17" spans="2:16" ht="45" x14ac:dyDescent="0.25">
      <c r="B17" s="110" t="s">
        <v>209</v>
      </c>
      <c r="C17" s="90">
        <v>1</v>
      </c>
      <c r="D17" s="33" t="s">
        <v>8</v>
      </c>
      <c r="E17" s="92">
        <f>(N10*C17)/2</f>
        <v>5.8749999999999997E-2</v>
      </c>
      <c r="F17" s="87" t="s">
        <v>11</v>
      </c>
      <c r="G17" s="92">
        <f>E17</f>
        <v>5.8749999999999997E-2</v>
      </c>
      <c r="H17" s="92">
        <f>(G17+E17)*N14</f>
        <v>1.7624999999999997E-3</v>
      </c>
      <c r="I17" s="15">
        <f>C17</f>
        <v>1</v>
      </c>
      <c r="J17" s="15">
        <v>0</v>
      </c>
      <c r="K17" s="143">
        <f>O15*C17</f>
        <v>9.2999999999999999E-2</v>
      </c>
      <c r="M17" s="60" t="s">
        <v>213</v>
      </c>
      <c r="N17" s="80">
        <v>5.3449999999999998</v>
      </c>
      <c r="O17" s="140"/>
      <c r="P17" s="140"/>
    </row>
    <row r="18" spans="2:16" ht="45.75" thickBot="1" x14ac:dyDescent="0.3">
      <c r="B18" s="111" t="s">
        <v>210</v>
      </c>
      <c r="C18" s="91">
        <v>1</v>
      </c>
      <c r="D18" s="36" t="s">
        <v>8</v>
      </c>
      <c r="E18" s="93">
        <f>(N11*C18)/4</f>
        <v>5.0000000000000001E-3</v>
      </c>
      <c r="F18" s="137" t="s">
        <v>11</v>
      </c>
      <c r="G18" s="128">
        <f>E18</f>
        <v>5.0000000000000001E-3</v>
      </c>
      <c r="H18" s="128">
        <f>(E18+G18)*N14</f>
        <v>1.4999999999999999E-4</v>
      </c>
      <c r="I18" s="129">
        <f>C18</f>
        <v>1</v>
      </c>
      <c r="J18" s="129">
        <v>0</v>
      </c>
      <c r="K18" s="144">
        <f>O16*C18</f>
        <v>1.4E-2</v>
      </c>
    </row>
    <row r="19" spans="2:16" ht="15.75" thickBot="1" x14ac:dyDescent="0.3">
      <c r="F19" s="182" t="s">
        <v>203</v>
      </c>
      <c r="G19" s="183"/>
      <c r="H19" s="183"/>
      <c r="I19" s="183"/>
      <c r="J19" s="184"/>
      <c r="K19" s="131">
        <f>J16*N17</f>
        <v>217.140625</v>
      </c>
      <c r="M19" s="147" t="s">
        <v>223</v>
      </c>
    </row>
    <row r="20" spans="2:16" ht="15.75" thickBot="1" x14ac:dyDescent="0.3">
      <c r="J20" t="s">
        <v>216</v>
      </c>
      <c r="K20" s="145">
        <f>SUM(K17:K19)</f>
        <v>217.247625</v>
      </c>
      <c r="M20" s="148" t="s">
        <v>218</v>
      </c>
    </row>
    <row r="21" spans="2:16" ht="15.75" thickBot="1" x14ac:dyDescent="0.3">
      <c r="H21" s="185" t="s">
        <v>202</v>
      </c>
      <c r="I21" s="186"/>
      <c r="J21" s="186"/>
      <c r="K21" s="178"/>
      <c r="M21" s="149" t="s">
        <v>217</v>
      </c>
    </row>
    <row r="22" spans="2:16" ht="24" thickBot="1" x14ac:dyDescent="0.3">
      <c r="B22" s="123" t="s">
        <v>204</v>
      </c>
      <c r="C22" s="124"/>
      <c r="D22" s="124"/>
      <c r="E22" s="44"/>
      <c r="M22" s="31" t="s">
        <v>220</v>
      </c>
    </row>
    <row r="23" spans="2:16" x14ac:dyDescent="0.25">
      <c r="C23" s="165"/>
      <c r="D23" s="165"/>
      <c r="E23" s="165"/>
    </row>
    <row r="24" spans="2:16" ht="15.75" thickBot="1" x14ac:dyDescent="0.3">
      <c r="C24" s="31"/>
      <c r="D24" s="30"/>
      <c r="E24" s="85"/>
    </row>
    <row r="25" spans="2:16" x14ac:dyDescent="0.25">
      <c r="B25" s="187" t="s">
        <v>235</v>
      </c>
      <c r="C25" s="188"/>
      <c r="D25" s="188"/>
      <c r="E25" s="188"/>
      <c r="F25" s="189"/>
    </row>
    <row r="26" spans="2:16" ht="15.75" thickBot="1" x14ac:dyDescent="0.3">
      <c r="B26" s="190"/>
      <c r="C26" s="191"/>
      <c r="D26" s="191"/>
      <c r="E26" s="191"/>
      <c r="F26" s="192"/>
    </row>
    <row r="27" spans="2:16" ht="21" x14ac:dyDescent="0.35">
      <c r="B27" s="164" t="s">
        <v>225</v>
      </c>
      <c r="C27" s="164" t="s">
        <v>230</v>
      </c>
      <c r="D27" s="164" t="s">
        <v>226</v>
      </c>
      <c r="E27" s="164" t="s">
        <v>224</v>
      </c>
      <c r="F27" s="164" t="s">
        <v>234</v>
      </c>
      <c r="H27" s="83"/>
    </row>
    <row r="28" spans="2:16" ht="21" x14ac:dyDescent="0.35">
      <c r="B28" s="1">
        <v>10</v>
      </c>
      <c r="C28" s="1">
        <v>10</v>
      </c>
      <c r="D28" s="152">
        <f>C28*B28</f>
        <v>100</v>
      </c>
      <c r="E28" s="4" t="s">
        <v>233</v>
      </c>
      <c r="F28" s="153"/>
    </row>
    <row r="29" spans="2:16" ht="21" x14ac:dyDescent="0.35">
      <c r="B29" s="1">
        <v>20</v>
      </c>
      <c r="C29" s="1">
        <v>8</v>
      </c>
      <c r="D29" s="152">
        <f t="shared" ref="D29:D47" si="0">C29*B29</f>
        <v>160</v>
      </c>
      <c r="E29" s="4" t="s">
        <v>233</v>
      </c>
      <c r="F29" s="153"/>
      <c r="G29" s="84"/>
    </row>
    <row r="30" spans="2:16" ht="21" x14ac:dyDescent="0.35">
      <c r="B30" s="1">
        <v>11</v>
      </c>
      <c r="C30" s="1">
        <v>8</v>
      </c>
      <c r="D30" s="152">
        <f t="shared" si="0"/>
        <v>88</v>
      </c>
      <c r="E30" s="4"/>
      <c r="F30" s="153"/>
    </row>
    <row r="31" spans="2:16" ht="21" x14ac:dyDescent="0.35">
      <c r="B31" s="1"/>
      <c r="C31" s="1">
        <v>0</v>
      </c>
      <c r="D31" s="152">
        <f t="shared" si="0"/>
        <v>0</v>
      </c>
      <c r="E31" s="4"/>
      <c r="F31" s="153"/>
    </row>
    <row r="32" spans="2:16" ht="21" x14ac:dyDescent="0.35">
      <c r="B32" s="1"/>
      <c r="C32" s="1">
        <v>0</v>
      </c>
      <c r="D32" s="152">
        <f t="shared" si="0"/>
        <v>0</v>
      </c>
      <c r="E32" s="4"/>
      <c r="F32" s="153"/>
    </row>
    <row r="33" spans="2:6" ht="21" x14ac:dyDescent="0.35">
      <c r="B33" s="1"/>
      <c r="C33" s="1">
        <v>0</v>
      </c>
      <c r="D33" s="152">
        <f t="shared" si="0"/>
        <v>0</v>
      </c>
      <c r="E33" s="4"/>
      <c r="F33" s="153"/>
    </row>
    <row r="34" spans="2:6" ht="21" x14ac:dyDescent="0.35">
      <c r="B34" s="1"/>
      <c r="C34" s="1">
        <v>0</v>
      </c>
      <c r="D34" s="152">
        <f t="shared" si="0"/>
        <v>0</v>
      </c>
      <c r="E34" s="4"/>
      <c r="F34" s="153"/>
    </row>
    <row r="35" spans="2:6" ht="21" x14ac:dyDescent="0.35">
      <c r="B35" s="1"/>
      <c r="C35" s="1">
        <v>0</v>
      </c>
      <c r="D35" s="152">
        <f t="shared" si="0"/>
        <v>0</v>
      </c>
      <c r="E35" s="4"/>
      <c r="F35" s="153"/>
    </row>
    <row r="36" spans="2:6" ht="21" x14ac:dyDescent="0.35">
      <c r="B36" s="1"/>
      <c r="C36" s="1">
        <v>0</v>
      </c>
      <c r="D36" s="152">
        <f t="shared" si="0"/>
        <v>0</v>
      </c>
      <c r="E36" s="4"/>
      <c r="F36" s="153"/>
    </row>
    <row r="37" spans="2:6" ht="21" x14ac:dyDescent="0.35">
      <c r="B37" s="1"/>
      <c r="C37" s="1">
        <v>0</v>
      </c>
      <c r="D37" s="152">
        <f t="shared" si="0"/>
        <v>0</v>
      </c>
      <c r="E37" s="4"/>
      <c r="F37" s="153"/>
    </row>
    <row r="38" spans="2:6" ht="21" x14ac:dyDescent="0.35">
      <c r="B38" s="1"/>
      <c r="C38" s="1">
        <v>0</v>
      </c>
      <c r="D38" s="152">
        <f t="shared" si="0"/>
        <v>0</v>
      </c>
      <c r="E38" s="4"/>
      <c r="F38" s="153"/>
    </row>
    <row r="39" spans="2:6" ht="21" x14ac:dyDescent="0.35">
      <c r="B39" s="1"/>
      <c r="C39" s="1">
        <v>0</v>
      </c>
      <c r="D39" s="152">
        <f t="shared" si="0"/>
        <v>0</v>
      </c>
      <c r="E39" s="4"/>
      <c r="F39" s="153"/>
    </row>
    <row r="40" spans="2:6" ht="21" x14ac:dyDescent="0.35">
      <c r="B40" s="1"/>
      <c r="C40" s="1">
        <v>0</v>
      </c>
      <c r="D40" s="152">
        <f t="shared" si="0"/>
        <v>0</v>
      </c>
      <c r="E40" s="4"/>
      <c r="F40" s="153"/>
    </row>
    <row r="41" spans="2:6" ht="21" x14ac:dyDescent="0.35">
      <c r="B41" s="1"/>
      <c r="C41" s="1">
        <v>0</v>
      </c>
      <c r="D41" s="152">
        <f t="shared" si="0"/>
        <v>0</v>
      </c>
      <c r="E41" s="4"/>
      <c r="F41" s="153"/>
    </row>
    <row r="42" spans="2:6" ht="21" x14ac:dyDescent="0.35">
      <c r="B42" s="1"/>
      <c r="C42" s="1">
        <v>0</v>
      </c>
      <c r="D42" s="152">
        <f t="shared" si="0"/>
        <v>0</v>
      </c>
      <c r="E42" s="4"/>
      <c r="F42" s="153"/>
    </row>
    <row r="43" spans="2:6" ht="21" x14ac:dyDescent="0.35">
      <c r="B43" s="1"/>
      <c r="C43" s="1">
        <v>0</v>
      </c>
      <c r="D43" s="152">
        <f t="shared" si="0"/>
        <v>0</v>
      </c>
      <c r="E43" s="4"/>
      <c r="F43" s="153"/>
    </row>
    <row r="44" spans="2:6" ht="21" x14ac:dyDescent="0.35">
      <c r="B44" s="1"/>
      <c r="C44" s="1">
        <v>0</v>
      </c>
      <c r="D44" s="152">
        <f t="shared" si="0"/>
        <v>0</v>
      </c>
      <c r="E44" s="4"/>
      <c r="F44" s="153"/>
    </row>
    <row r="45" spans="2:6" ht="21" x14ac:dyDescent="0.35">
      <c r="B45" s="1"/>
      <c r="C45" s="1">
        <v>0</v>
      </c>
      <c r="D45" s="152">
        <f t="shared" si="0"/>
        <v>0</v>
      </c>
      <c r="E45" s="4"/>
      <c r="F45" s="153"/>
    </row>
    <row r="46" spans="2:6" ht="21" x14ac:dyDescent="0.35">
      <c r="B46" s="1"/>
      <c r="C46" s="1">
        <v>0</v>
      </c>
      <c r="D46" s="152">
        <f t="shared" si="0"/>
        <v>0</v>
      </c>
      <c r="E46" s="4"/>
      <c r="F46" s="153"/>
    </row>
    <row r="47" spans="2:6" ht="21.75" thickBot="1" x14ac:dyDescent="0.4">
      <c r="B47" s="1"/>
      <c r="C47" s="157">
        <v>0</v>
      </c>
      <c r="D47" s="158">
        <f t="shared" si="0"/>
        <v>0</v>
      </c>
      <c r="E47" s="4"/>
      <c r="F47" s="153"/>
    </row>
    <row r="48" spans="2:6" ht="15.75" thickBot="1" x14ac:dyDescent="0.3">
      <c r="C48" s="160" t="s">
        <v>228</v>
      </c>
      <c r="D48" s="161">
        <f>SUM(D28:D47)</f>
        <v>348</v>
      </c>
      <c r="E48" s="31"/>
    </row>
    <row r="49" spans="2:5" x14ac:dyDescent="0.25">
      <c r="C49" s="2" t="s">
        <v>227</v>
      </c>
      <c r="D49" s="159">
        <f>C53-D48</f>
        <v>2</v>
      </c>
      <c r="E49" s="4"/>
    </row>
    <row r="50" spans="2:5" x14ac:dyDescent="0.25">
      <c r="C50" s="1" t="s">
        <v>231</v>
      </c>
      <c r="D50" s="1">
        <v>9</v>
      </c>
      <c r="E50" s="4" t="s">
        <v>233</v>
      </c>
    </row>
    <row r="51" spans="2:5" x14ac:dyDescent="0.25">
      <c r="C51" s="1" t="s">
        <v>232</v>
      </c>
      <c r="D51" s="1"/>
      <c r="E51" s="4"/>
    </row>
    <row r="52" spans="2:5" ht="15.75" thickBot="1" x14ac:dyDescent="0.3"/>
    <row r="53" spans="2:5" ht="30.75" thickBot="1" x14ac:dyDescent="0.3">
      <c r="B53" s="162" t="s">
        <v>229</v>
      </c>
      <c r="C53" s="163">
        <v>350</v>
      </c>
    </row>
  </sheetData>
  <mergeCells count="12">
    <mergeCell ref="B25:F26"/>
    <mergeCell ref="B2:F2"/>
    <mergeCell ref="B5:J5"/>
    <mergeCell ref="M5:N5"/>
    <mergeCell ref="R5:S5"/>
    <mergeCell ref="C23:E23"/>
    <mergeCell ref="B14:K14"/>
    <mergeCell ref="G10:I10"/>
    <mergeCell ref="G11:I11"/>
    <mergeCell ref="G12:J12"/>
    <mergeCell ref="H21:K21"/>
    <mergeCell ref="F19:J1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Hoja2!#REF!</xm:f>
          </x14:formula1>
          <xm:sqref>F16:F18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6"/>
  <sheetViews>
    <sheetView tabSelected="1" workbookViewId="0">
      <pane ySplit="8" topLeftCell="A102" activePane="bottomLeft" state="frozen"/>
      <selection pane="bottomLeft" activeCell="F117" sqref="F117"/>
    </sheetView>
  </sheetViews>
  <sheetFormatPr baseColWidth="10" defaultRowHeight="15" x14ac:dyDescent="0.25"/>
  <cols>
    <col min="1" max="1" width="1.7109375" customWidth="1"/>
    <col min="2" max="2" width="4.85546875" customWidth="1"/>
    <col min="3" max="3" width="23.42578125" customWidth="1"/>
    <col min="4" max="4" width="28.85546875" customWidth="1"/>
    <col min="5" max="5" width="21.85546875" customWidth="1"/>
    <col min="6" max="6" width="24.7109375" customWidth="1"/>
    <col min="7" max="7" width="2.7109375" customWidth="1"/>
    <col min="8" max="8" width="20" customWidth="1"/>
    <col min="9" max="9" width="17.7109375" customWidth="1"/>
    <col min="10" max="10" width="21.85546875" customWidth="1"/>
    <col min="11" max="11" width="27.28515625" customWidth="1"/>
    <col min="12" max="12" width="28.5703125" customWidth="1"/>
    <col min="13" max="13" width="20.5703125" customWidth="1"/>
  </cols>
  <sheetData>
    <row r="2" spans="2:13" ht="28.5" x14ac:dyDescent="0.45">
      <c r="C2" s="200" t="s">
        <v>190</v>
      </c>
      <c r="D2" s="201"/>
      <c r="E2" s="201"/>
      <c r="F2" s="201"/>
    </row>
    <row r="4" spans="2:13" ht="15.75" thickBot="1" x14ac:dyDescent="0.3"/>
    <row r="5" spans="2:13" ht="15.75" thickBot="1" x14ac:dyDescent="0.3">
      <c r="C5" s="119" t="s">
        <v>184</v>
      </c>
      <c r="D5" s="193" t="s">
        <v>185</v>
      </c>
      <c r="E5" s="194"/>
      <c r="F5" s="73" t="s">
        <v>182</v>
      </c>
    </row>
    <row r="6" spans="2:13" ht="30.75" thickBot="1" x14ac:dyDescent="0.3">
      <c r="B6" s="118"/>
      <c r="C6" s="102" t="s">
        <v>14</v>
      </c>
      <c r="D6" s="70" t="s">
        <v>194</v>
      </c>
      <c r="E6" s="71" t="s">
        <v>195</v>
      </c>
      <c r="F6" s="72" t="s">
        <v>183</v>
      </c>
    </row>
    <row r="7" spans="2:13" x14ac:dyDescent="0.25">
      <c r="B7" s="34" t="s">
        <v>193</v>
      </c>
      <c r="C7" s="102">
        <v>1</v>
      </c>
      <c r="D7" s="113">
        <f>C7/2</f>
        <v>0.5</v>
      </c>
      <c r="E7" s="113">
        <v>0.5</v>
      </c>
      <c r="F7" s="120">
        <v>1.4999999999999999E-2</v>
      </c>
      <c r="H7" s="5" t="s">
        <v>198</v>
      </c>
      <c r="I7" s="6"/>
      <c r="J7" s="6">
        <v>25</v>
      </c>
      <c r="K7" s="6"/>
      <c r="L7" s="6"/>
      <c r="M7" s="7"/>
    </row>
    <row r="8" spans="2:13" x14ac:dyDescent="0.25">
      <c r="B8" s="34" t="s">
        <v>193</v>
      </c>
      <c r="C8" s="102">
        <v>2</v>
      </c>
      <c r="D8" s="113">
        <f t="shared" ref="D8:D70" si="0">C8/2</f>
        <v>1</v>
      </c>
      <c r="E8" s="113">
        <f>D8</f>
        <v>1</v>
      </c>
      <c r="F8" s="120">
        <f>$F7*2</f>
        <v>0.03</v>
      </c>
      <c r="H8" s="8" t="s">
        <v>5</v>
      </c>
      <c r="I8" s="1"/>
      <c r="J8" s="1"/>
      <c r="K8" s="1"/>
      <c r="L8" s="1"/>
      <c r="M8" s="9"/>
    </row>
    <row r="9" spans="2:13" x14ac:dyDescent="0.25">
      <c r="B9" s="34" t="s">
        <v>193</v>
      </c>
      <c r="C9" s="102">
        <v>3</v>
      </c>
      <c r="D9" s="113">
        <f t="shared" si="0"/>
        <v>1.5</v>
      </c>
      <c r="E9" s="113">
        <f t="shared" ref="E9:E71" si="1">D9</f>
        <v>1.5</v>
      </c>
      <c r="F9" s="120">
        <f>F8*3</f>
        <v>0.09</v>
      </c>
      <c r="H9" s="8" t="s">
        <v>0</v>
      </c>
      <c r="I9" s="1" t="s">
        <v>1</v>
      </c>
      <c r="J9" s="1" t="s">
        <v>3</v>
      </c>
      <c r="K9" s="1"/>
      <c r="L9" s="1" t="s">
        <v>4</v>
      </c>
      <c r="M9" s="9"/>
    </row>
    <row r="10" spans="2:13" ht="15.75" thickBot="1" x14ac:dyDescent="0.3">
      <c r="B10" s="34" t="s">
        <v>193</v>
      </c>
      <c r="C10" s="102">
        <v>4</v>
      </c>
      <c r="D10" s="113">
        <f t="shared" si="0"/>
        <v>2</v>
      </c>
      <c r="E10" s="113">
        <f t="shared" si="1"/>
        <v>2</v>
      </c>
      <c r="F10" s="120">
        <f>F7*4</f>
        <v>0.06</v>
      </c>
      <c r="H10" s="74" t="s">
        <v>2</v>
      </c>
      <c r="I10" s="75" t="s">
        <v>51</v>
      </c>
      <c r="J10" s="75" t="s">
        <v>189</v>
      </c>
      <c r="K10" s="11"/>
      <c r="L10" s="11">
        <v>6.4</v>
      </c>
      <c r="M10" s="12"/>
    </row>
    <row r="11" spans="2:13" ht="15.75" thickBot="1" x14ac:dyDescent="0.3">
      <c r="B11" s="34" t="s">
        <v>193</v>
      </c>
      <c r="C11" s="102">
        <v>5</v>
      </c>
      <c r="D11" s="113">
        <f t="shared" si="0"/>
        <v>2.5</v>
      </c>
      <c r="E11" s="113">
        <f t="shared" si="1"/>
        <v>2.5</v>
      </c>
      <c r="F11" s="120">
        <f>F7*5</f>
        <v>7.4999999999999997E-2</v>
      </c>
      <c r="J11" s="3"/>
      <c r="K11" s="3"/>
      <c r="L11" s="3"/>
      <c r="M11" s="3"/>
    </row>
    <row r="12" spans="2:13" ht="15.75" thickBot="1" x14ac:dyDescent="0.3">
      <c r="B12" s="34" t="s">
        <v>193</v>
      </c>
      <c r="C12" s="102">
        <v>6</v>
      </c>
      <c r="D12" s="113">
        <f t="shared" si="0"/>
        <v>3</v>
      </c>
      <c r="E12" s="113">
        <f t="shared" si="1"/>
        <v>3</v>
      </c>
      <c r="F12" s="120">
        <f>F7*6</f>
        <v>0.09</v>
      </c>
      <c r="H12" s="197" t="s">
        <v>188</v>
      </c>
      <c r="I12" s="198"/>
      <c r="J12" s="198"/>
      <c r="K12" s="198"/>
      <c r="L12" s="198"/>
      <c r="M12" s="199"/>
    </row>
    <row r="13" spans="2:13" x14ac:dyDescent="0.25">
      <c r="B13" s="34" t="s">
        <v>193</v>
      </c>
      <c r="C13" s="102">
        <v>7</v>
      </c>
      <c r="D13" s="113">
        <f t="shared" si="0"/>
        <v>3.5</v>
      </c>
      <c r="E13" s="113">
        <f t="shared" si="1"/>
        <v>3.5</v>
      </c>
      <c r="F13" s="120">
        <f>F7*7</f>
        <v>0.105</v>
      </c>
      <c r="H13" s="114"/>
      <c r="I13" s="2"/>
      <c r="J13" s="78" t="s">
        <v>184</v>
      </c>
      <c r="K13" s="195" t="s">
        <v>185</v>
      </c>
      <c r="L13" s="196"/>
      <c r="M13" s="35" t="s">
        <v>182</v>
      </c>
    </row>
    <row r="14" spans="2:13" ht="30" x14ac:dyDescent="0.25">
      <c r="B14" s="34" t="s">
        <v>193</v>
      </c>
      <c r="C14" s="102">
        <v>8</v>
      </c>
      <c r="D14" s="113">
        <f t="shared" si="0"/>
        <v>4</v>
      </c>
      <c r="E14" s="113">
        <f t="shared" si="1"/>
        <v>4</v>
      </c>
      <c r="F14" s="120">
        <f>F7*8</f>
        <v>0.12</v>
      </c>
      <c r="H14" s="8" t="s">
        <v>186</v>
      </c>
      <c r="I14" s="69" t="s">
        <v>187</v>
      </c>
      <c r="J14" s="76" t="s">
        <v>14</v>
      </c>
      <c r="K14" s="112" t="s">
        <v>8</v>
      </c>
      <c r="L14" s="77" t="s">
        <v>11</v>
      </c>
      <c r="M14" s="9" t="s">
        <v>183</v>
      </c>
    </row>
    <row r="15" spans="2:13" ht="15.75" thickBot="1" x14ac:dyDescent="0.3">
      <c r="B15" s="34" t="s">
        <v>193</v>
      </c>
      <c r="C15" s="102">
        <v>9</v>
      </c>
      <c r="D15" s="113">
        <f t="shared" si="0"/>
        <v>4.5</v>
      </c>
      <c r="E15" s="113">
        <f t="shared" si="1"/>
        <v>4.5</v>
      </c>
      <c r="F15" s="120">
        <f>F7*9</f>
        <v>0.13500000000000001</v>
      </c>
      <c r="H15" s="10">
        <v>25</v>
      </c>
      <c r="I15" s="75">
        <v>4</v>
      </c>
      <c r="J15" s="115">
        <f>25*I15</f>
        <v>100</v>
      </c>
      <c r="K15" s="116">
        <f>J15/2</f>
        <v>50</v>
      </c>
      <c r="L15" s="116">
        <f>K15</f>
        <v>50</v>
      </c>
      <c r="M15" s="117">
        <f>0.375*I15</f>
        <v>1.5</v>
      </c>
    </row>
    <row r="16" spans="2:13" x14ac:dyDescent="0.25">
      <c r="B16" s="34" t="s">
        <v>193</v>
      </c>
      <c r="C16" s="102">
        <v>10</v>
      </c>
      <c r="D16" s="113">
        <f t="shared" si="0"/>
        <v>5</v>
      </c>
      <c r="E16" s="113">
        <f t="shared" si="1"/>
        <v>5</v>
      </c>
      <c r="F16" s="120">
        <f>F7*10</f>
        <v>0.15</v>
      </c>
    </row>
    <row r="17" spans="2:6" x14ac:dyDescent="0.25">
      <c r="B17" s="34" t="s">
        <v>193</v>
      </c>
      <c r="C17" s="102">
        <v>11</v>
      </c>
      <c r="D17" s="113">
        <f t="shared" si="0"/>
        <v>5.5</v>
      </c>
      <c r="E17" s="113">
        <f t="shared" si="1"/>
        <v>5.5</v>
      </c>
      <c r="F17" s="120">
        <f>F7*11</f>
        <v>0.16499999999999998</v>
      </c>
    </row>
    <row r="18" spans="2:6" x14ac:dyDescent="0.25">
      <c r="B18" s="34" t="s">
        <v>193</v>
      </c>
      <c r="C18" s="102">
        <v>12</v>
      </c>
      <c r="D18" s="113">
        <f t="shared" si="0"/>
        <v>6</v>
      </c>
      <c r="E18" s="113">
        <f t="shared" si="1"/>
        <v>6</v>
      </c>
      <c r="F18" s="120">
        <f>F7*12</f>
        <v>0.18</v>
      </c>
    </row>
    <row r="19" spans="2:6" x14ac:dyDescent="0.25">
      <c r="B19" s="34" t="s">
        <v>193</v>
      </c>
      <c r="C19" s="102">
        <v>13</v>
      </c>
      <c r="D19" s="113">
        <f t="shared" si="0"/>
        <v>6.5</v>
      </c>
      <c r="E19" s="113">
        <f t="shared" si="1"/>
        <v>6.5</v>
      </c>
      <c r="F19" s="120">
        <f>F7*132</f>
        <v>1.98</v>
      </c>
    </row>
    <row r="20" spans="2:6" x14ac:dyDescent="0.25">
      <c r="B20" s="34" t="s">
        <v>193</v>
      </c>
      <c r="C20" s="102">
        <v>14</v>
      </c>
      <c r="D20" s="113">
        <f t="shared" si="0"/>
        <v>7</v>
      </c>
      <c r="E20" s="113">
        <f t="shared" si="1"/>
        <v>7</v>
      </c>
      <c r="F20" s="120">
        <f>F7*14</f>
        <v>0.21</v>
      </c>
    </row>
    <row r="21" spans="2:6" x14ac:dyDescent="0.25">
      <c r="B21" s="34" t="s">
        <v>193</v>
      </c>
      <c r="C21" s="102">
        <v>15</v>
      </c>
      <c r="D21" s="113">
        <f t="shared" si="0"/>
        <v>7.5</v>
      </c>
      <c r="E21" s="113">
        <f t="shared" si="1"/>
        <v>7.5</v>
      </c>
      <c r="F21" s="120">
        <f>F7*15</f>
        <v>0.22499999999999998</v>
      </c>
    </row>
    <row r="22" spans="2:6" x14ac:dyDescent="0.25">
      <c r="B22" s="34" t="s">
        <v>193</v>
      </c>
      <c r="C22" s="102">
        <v>16</v>
      </c>
      <c r="D22" s="113">
        <f t="shared" si="0"/>
        <v>8</v>
      </c>
      <c r="E22" s="113">
        <f t="shared" si="1"/>
        <v>8</v>
      </c>
      <c r="F22" s="120">
        <f>F7*16</f>
        <v>0.24</v>
      </c>
    </row>
    <row r="23" spans="2:6" x14ac:dyDescent="0.25">
      <c r="B23" s="34" t="s">
        <v>193</v>
      </c>
      <c r="C23" s="102">
        <v>17</v>
      </c>
      <c r="D23" s="113">
        <f t="shared" si="0"/>
        <v>8.5</v>
      </c>
      <c r="E23" s="113">
        <f t="shared" si="1"/>
        <v>8.5</v>
      </c>
      <c r="F23" s="120">
        <f>F7*17</f>
        <v>0.255</v>
      </c>
    </row>
    <row r="24" spans="2:6" x14ac:dyDescent="0.25">
      <c r="B24" s="34" t="s">
        <v>193</v>
      </c>
      <c r="C24" s="102">
        <v>18</v>
      </c>
      <c r="D24" s="113">
        <f t="shared" si="0"/>
        <v>9</v>
      </c>
      <c r="E24" s="113">
        <f t="shared" si="1"/>
        <v>9</v>
      </c>
      <c r="F24" s="120">
        <f>F7*18</f>
        <v>0.27</v>
      </c>
    </row>
    <row r="25" spans="2:6" x14ac:dyDescent="0.25">
      <c r="B25" s="34" t="s">
        <v>193</v>
      </c>
      <c r="C25" s="102">
        <v>19</v>
      </c>
      <c r="D25" s="113">
        <f t="shared" si="0"/>
        <v>9.5</v>
      </c>
      <c r="E25" s="113">
        <f t="shared" si="1"/>
        <v>9.5</v>
      </c>
      <c r="F25" s="120">
        <f>F7*19</f>
        <v>0.28499999999999998</v>
      </c>
    </row>
    <row r="26" spans="2:6" x14ac:dyDescent="0.25">
      <c r="B26" s="34" t="s">
        <v>193</v>
      </c>
      <c r="C26" s="102">
        <v>20</v>
      </c>
      <c r="D26" s="113">
        <f t="shared" si="0"/>
        <v>10</v>
      </c>
      <c r="E26" s="113">
        <f t="shared" si="1"/>
        <v>10</v>
      </c>
      <c r="F26" s="120">
        <f>F7*20</f>
        <v>0.3</v>
      </c>
    </row>
    <row r="27" spans="2:6" x14ac:dyDescent="0.25">
      <c r="B27" s="34" t="s">
        <v>193</v>
      </c>
      <c r="C27" s="102">
        <v>21</v>
      </c>
      <c r="D27" s="113">
        <f t="shared" si="0"/>
        <v>10.5</v>
      </c>
      <c r="E27" s="113">
        <f t="shared" si="1"/>
        <v>10.5</v>
      </c>
      <c r="F27" s="120">
        <f>F7*21</f>
        <v>0.315</v>
      </c>
    </row>
    <row r="28" spans="2:6" x14ac:dyDescent="0.25">
      <c r="B28" s="34" t="s">
        <v>193</v>
      </c>
      <c r="C28" s="102">
        <v>22</v>
      </c>
      <c r="D28" s="113">
        <f t="shared" si="0"/>
        <v>11</v>
      </c>
      <c r="E28" s="113">
        <f t="shared" si="1"/>
        <v>11</v>
      </c>
      <c r="F28" s="120">
        <f>F7*22</f>
        <v>0.32999999999999996</v>
      </c>
    </row>
    <row r="29" spans="2:6" x14ac:dyDescent="0.25">
      <c r="B29" s="34" t="s">
        <v>193</v>
      </c>
      <c r="C29" s="102">
        <v>23</v>
      </c>
      <c r="D29" s="113">
        <f t="shared" si="0"/>
        <v>11.5</v>
      </c>
      <c r="E29" s="113">
        <f t="shared" si="1"/>
        <v>11.5</v>
      </c>
      <c r="F29" s="120">
        <f>F7*23</f>
        <v>0.34499999999999997</v>
      </c>
    </row>
    <row r="30" spans="2:6" x14ac:dyDescent="0.25">
      <c r="B30" s="34" t="s">
        <v>193</v>
      </c>
      <c r="C30" s="102">
        <v>24</v>
      </c>
      <c r="D30" s="113">
        <f t="shared" si="0"/>
        <v>12</v>
      </c>
      <c r="E30" s="113">
        <f t="shared" si="1"/>
        <v>12</v>
      </c>
      <c r="F30" s="120">
        <f>F7*24</f>
        <v>0.36</v>
      </c>
    </row>
    <row r="31" spans="2:6" x14ac:dyDescent="0.25">
      <c r="B31" s="34" t="s">
        <v>193</v>
      </c>
      <c r="C31" s="102">
        <v>25</v>
      </c>
      <c r="D31" s="113">
        <f t="shared" si="0"/>
        <v>12.5</v>
      </c>
      <c r="E31" s="113">
        <f t="shared" si="1"/>
        <v>12.5</v>
      </c>
      <c r="F31" s="120">
        <f>F7*C31</f>
        <v>0.375</v>
      </c>
    </row>
    <row r="32" spans="2:6" x14ac:dyDescent="0.25">
      <c r="B32" s="34" t="s">
        <v>193</v>
      </c>
      <c r="C32" s="102">
        <v>26</v>
      </c>
      <c r="D32" s="113">
        <f t="shared" si="0"/>
        <v>13</v>
      </c>
      <c r="E32" s="113">
        <f t="shared" si="1"/>
        <v>13</v>
      </c>
      <c r="F32" s="120">
        <f>F7*C32</f>
        <v>0.39</v>
      </c>
    </row>
    <row r="33" spans="2:6" x14ac:dyDescent="0.25">
      <c r="B33" s="34" t="s">
        <v>193</v>
      </c>
      <c r="C33" s="102">
        <v>27</v>
      </c>
      <c r="D33" s="113">
        <f t="shared" si="0"/>
        <v>13.5</v>
      </c>
      <c r="E33" s="113">
        <f t="shared" si="1"/>
        <v>13.5</v>
      </c>
      <c r="F33" s="120">
        <f>F7*C33</f>
        <v>0.40499999999999997</v>
      </c>
    </row>
    <row r="34" spans="2:6" x14ac:dyDescent="0.25">
      <c r="B34" s="34" t="s">
        <v>193</v>
      </c>
      <c r="C34" s="102">
        <v>28</v>
      </c>
      <c r="D34" s="113">
        <f t="shared" si="0"/>
        <v>14</v>
      </c>
      <c r="E34" s="113">
        <f t="shared" si="1"/>
        <v>14</v>
      </c>
      <c r="F34" s="120">
        <f>F7*C34</f>
        <v>0.42</v>
      </c>
    </row>
    <row r="35" spans="2:6" x14ac:dyDescent="0.25">
      <c r="B35" s="34" t="s">
        <v>193</v>
      </c>
      <c r="C35" s="102">
        <v>29</v>
      </c>
      <c r="D35" s="113">
        <f t="shared" si="0"/>
        <v>14.5</v>
      </c>
      <c r="E35" s="113">
        <f t="shared" si="1"/>
        <v>14.5</v>
      </c>
      <c r="F35" s="120">
        <f>F7*C35</f>
        <v>0.435</v>
      </c>
    </row>
    <row r="36" spans="2:6" x14ac:dyDescent="0.25">
      <c r="B36" s="34" t="s">
        <v>193</v>
      </c>
      <c r="C36" s="102">
        <v>30</v>
      </c>
      <c r="D36" s="113">
        <f t="shared" si="0"/>
        <v>15</v>
      </c>
      <c r="E36" s="113">
        <f t="shared" si="1"/>
        <v>15</v>
      </c>
      <c r="F36" s="120">
        <f>F7*C36</f>
        <v>0.44999999999999996</v>
      </c>
    </row>
    <row r="37" spans="2:6" x14ac:dyDescent="0.25">
      <c r="B37" s="34" t="s">
        <v>193</v>
      </c>
      <c r="C37" s="102">
        <v>31</v>
      </c>
      <c r="D37" s="113">
        <f t="shared" si="0"/>
        <v>15.5</v>
      </c>
      <c r="E37" s="113">
        <f t="shared" si="1"/>
        <v>15.5</v>
      </c>
      <c r="F37" s="120">
        <f>F7*C37</f>
        <v>0.46499999999999997</v>
      </c>
    </row>
    <row r="38" spans="2:6" x14ac:dyDescent="0.25">
      <c r="B38" s="34" t="s">
        <v>193</v>
      </c>
      <c r="C38" s="102">
        <v>32</v>
      </c>
      <c r="D38" s="113">
        <f t="shared" si="0"/>
        <v>16</v>
      </c>
      <c r="E38" s="113">
        <f t="shared" si="1"/>
        <v>16</v>
      </c>
      <c r="F38" s="120">
        <f>F7*C38</f>
        <v>0.48</v>
      </c>
    </row>
    <row r="39" spans="2:6" x14ac:dyDescent="0.25">
      <c r="B39" s="34" t="s">
        <v>193</v>
      </c>
      <c r="C39" s="102">
        <v>33</v>
      </c>
      <c r="D39" s="113">
        <f t="shared" si="0"/>
        <v>16.5</v>
      </c>
      <c r="E39" s="113">
        <f t="shared" si="1"/>
        <v>16.5</v>
      </c>
      <c r="F39" s="120">
        <f>F7*C39</f>
        <v>0.495</v>
      </c>
    </row>
    <row r="40" spans="2:6" x14ac:dyDescent="0.25">
      <c r="B40" s="34" t="s">
        <v>193</v>
      </c>
      <c r="C40" s="102">
        <v>34</v>
      </c>
      <c r="D40" s="113">
        <f t="shared" si="0"/>
        <v>17</v>
      </c>
      <c r="E40" s="113">
        <f t="shared" si="1"/>
        <v>17</v>
      </c>
      <c r="F40" s="120">
        <f>F7*C40</f>
        <v>0.51</v>
      </c>
    </row>
    <row r="41" spans="2:6" x14ac:dyDescent="0.25">
      <c r="B41" s="34" t="s">
        <v>193</v>
      </c>
      <c r="C41" s="102">
        <v>35</v>
      </c>
      <c r="D41" s="113">
        <f t="shared" si="0"/>
        <v>17.5</v>
      </c>
      <c r="E41" s="113">
        <f t="shared" si="1"/>
        <v>17.5</v>
      </c>
      <c r="F41" s="120">
        <f>F7*C41</f>
        <v>0.52500000000000002</v>
      </c>
    </row>
    <row r="42" spans="2:6" x14ac:dyDescent="0.25">
      <c r="B42" s="34" t="s">
        <v>193</v>
      </c>
      <c r="C42" s="102">
        <v>36</v>
      </c>
      <c r="D42" s="113">
        <f t="shared" si="0"/>
        <v>18</v>
      </c>
      <c r="E42" s="113">
        <f t="shared" si="1"/>
        <v>18</v>
      </c>
      <c r="F42" s="120">
        <f>F7*C42</f>
        <v>0.54</v>
      </c>
    </row>
    <row r="43" spans="2:6" x14ac:dyDescent="0.25">
      <c r="B43" s="34" t="s">
        <v>193</v>
      </c>
      <c r="C43" s="102">
        <v>37</v>
      </c>
      <c r="D43" s="113">
        <f t="shared" si="0"/>
        <v>18.5</v>
      </c>
      <c r="E43" s="113">
        <f t="shared" si="1"/>
        <v>18.5</v>
      </c>
      <c r="F43" s="120">
        <f>F7*C43</f>
        <v>0.55499999999999994</v>
      </c>
    </row>
    <row r="44" spans="2:6" x14ac:dyDescent="0.25">
      <c r="B44" s="34" t="s">
        <v>193</v>
      </c>
      <c r="C44" s="102">
        <v>38</v>
      </c>
      <c r="D44" s="113">
        <f t="shared" si="0"/>
        <v>19</v>
      </c>
      <c r="E44" s="113">
        <f t="shared" si="1"/>
        <v>19</v>
      </c>
      <c r="F44" s="120">
        <f>F7*C44</f>
        <v>0.56999999999999995</v>
      </c>
    </row>
    <row r="45" spans="2:6" x14ac:dyDescent="0.25">
      <c r="B45" s="34" t="s">
        <v>193</v>
      </c>
      <c r="C45" s="102">
        <v>39</v>
      </c>
      <c r="D45" s="113">
        <f t="shared" si="0"/>
        <v>19.5</v>
      </c>
      <c r="E45" s="113">
        <f t="shared" si="1"/>
        <v>19.5</v>
      </c>
      <c r="F45" s="120">
        <f>F7*C45</f>
        <v>0.58499999999999996</v>
      </c>
    </row>
    <row r="46" spans="2:6" x14ac:dyDescent="0.25">
      <c r="B46" s="34" t="s">
        <v>193</v>
      </c>
      <c r="C46" s="102">
        <v>40</v>
      </c>
      <c r="D46" s="113">
        <f t="shared" si="0"/>
        <v>20</v>
      </c>
      <c r="E46" s="113">
        <f t="shared" si="1"/>
        <v>20</v>
      </c>
      <c r="F46" s="120">
        <f>F7*C46</f>
        <v>0.6</v>
      </c>
    </row>
    <row r="47" spans="2:6" x14ac:dyDescent="0.25">
      <c r="B47" s="34" t="s">
        <v>193</v>
      </c>
      <c r="C47" s="102">
        <v>41</v>
      </c>
      <c r="D47" s="113">
        <f t="shared" si="0"/>
        <v>20.5</v>
      </c>
      <c r="E47" s="113">
        <f t="shared" si="1"/>
        <v>20.5</v>
      </c>
      <c r="F47" s="120">
        <f>F7*C47</f>
        <v>0.61499999999999999</v>
      </c>
    </row>
    <row r="48" spans="2:6" x14ac:dyDescent="0.25">
      <c r="B48" s="34" t="s">
        <v>193</v>
      </c>
      <c r="C48" s="102">
        <v>42</v>
      </c>
      <c r="D48" s="113">
        <f t="shared" si="0"/>
        <v>21</v>
      </c>
      <c r="E48" s="113">
        <f t="shared" si="1"/>
        <v>21</v>
      </c>
      <c r="F48" s="120">
        <f>F7*C48</f>
        <v>0.63</v>
      </c>
    </row>
    <row r="49" spans="2:6" x14ac:dyDescent="0.25">
      <c r="B49" s="34" t="s">
        <v>193</v>
      </c>
      <c r="C49" s="102">
        <v>43</v>
      </c>
      <c r="D49" s="113">
        <f t="shared" si="0"/>
        <v>21.5</v>
      </c>
      <c r="E49" s="113">
        <f t="shared" si="1"/>
        <v>21.5</v>
      </c>
      <c r="F49" s="120">
        <f>F7*C49</f>
        <v>0.64500000000000002</v>
      </c>
    </row>
    <row r="50" spans="2:6" x14ac:dyDescent="0.25">
      <c r="B50" s="34" t="s">
        <v>193</v>
      </c>
      <c r="C50" s="102">
        <v>44</v>
      </c>
      <c r="D50" s="113">
        <f t="shared" si="0"/>
        <v>22</v>
      </c>
      <c r="E50" s="113">
        <f t="shared" si="1"/>
        <v>22</v>
      </c>
      <c r="F50" s="120">
        <f>F7*C50</f>
        <v>0.65999999999999992</v>
      </c>
    </row>
    <row r="51" spans="2:6" x14ac:dyDescent="0.25">
      <c r="B51" s="34" t="s">
        <v>193</v>
      </c>
      <c r="C51" s="102">
        <v>45</v>
      </c>
      <c r="D51" s="113">
        <f t="shared" si="0"/>
        <v>22.5</v>
      </c>
      <c r="E51" s="113">
        <f t="shared" si="1"/>
        <v>22.5</v>
      </c>
      <c r="F51" s="120">
        <f>F7*C51</f>
        <v>0.67499999999999993</v>
      </c>
    </row>
    <row r="52" spans="2:6" x14ac:dyDescent="0.25">
      <c r="B52" s="34" t="s">
        <v>193</v>
      </c>
      <c r="C52" s="102">
        <v>46</v>
      </c>
      <c r="D52" s="113">
        <f t="shared" si="0"/>
        <v>23</v>
      </c>
      <c r="E52" s="113">
        <f t="shared" si="1"/>
        <v>23</v>
      </c>
      <c r="F52" s="120">
        <f>F7*C52</f>
        <v>0.69</v>
      </c>
    </row>
    <row r="53" spans="2:6" x14ac:dyDescent="0.25">
      <c r="B53" s="34" t="s">
        <v>193</v>
      </c>
      <c r="C53" s="102">
        <v>47</v>
      </c>
      <c r="D53" s="113">
        <f t="shared" si="0"/>
        <v>23.5</v>
      </c>
      <c r="E53" s="113">
        <f t="shared" si="1"/>
        <v>23.5</v>
      </c>
      <c r="F53" s="120">
        <f>F7*C53</f>
        <v>0.70499999999999996</v>
      </c>
    </row>
    <row r="54" spans="2:6" x14ac:dyDescent="0.25">
      <c r="B54" s="34" t="s">
        <v>193</v>
      </c>
      <c r="C54" s="102">
        <v>48</v>
      </c>
      <c r="D54" s="113">
        <f t="shared" si="0"/>
        <v>24</v>
      </c>
      <c r="E54" s="113">
        <f t="shared" si="1"/>
        <v>24</v>
      </c>
      <c r="F54" s="120">
        <f>F7*C54</f>
        <v>0.72</v>
      </c>
    </row>
    <row r="55" spans="2:6" x14ac:dyDescent="0.25">
      <c r="B55" s="34" t="s">
        <v>193</v>
      </c>
      <c r="C55" s="102">
        <v>49</v>
      </c>
      <c r="D55" s="113">
        <f t="shared" si="0"/>
        <v>24.5</v>
      </c>
      <c r="E55" s="113">
        <f t="shared" si="1"/>
        <v>24.5</v>
      </c>
      <c r="F55" s="120">
        <f>F7*C55</f>
        <v>0.73499999999999999</v>
      </c>
    </row>
    <row r="56" spans="2:6" x14ac:dyDescent="0.25">
      <c r="B56" s="34" t="s">
        <v>193</v>
      </c>
      <c r="C56" s="102">
        <v>50</v>
      </c>
      <c r="D56" s="113">
        <f t="shared" si="0"/>
        <v>25</v>
      </c>
      <c r="E56" s="113">
        <f t="shared" si="1"/>
        <v>25</v>
      </c>
      <c r="F56" s="120">
        <f>F7*C56</f>
        <v>0.75</v>
      </c>
    </row>
    <row r="57" spans="2:6" x14ac:dyDescent="0.25">
      <c r="B57" s="34" t="s">
        <v>193</v>
      </c>
      <c r="C57" s="102">
        <v>51</v>
      </c>
      <c r="D57" s="113">
        <f t="shared" si="0"/>
        <v>25.5</v>
      </c>
      <c r="E57" s="113">
        <f t="shared" si="1"/>
        <v>25.5</v>
      </c>
      <c r="F57" s="120">
        <f>F7*C57</f>
        <v>0.76500000000000001</v>
      </c>
    </row>
    <row r="58" spans="2:6" x14ac:dyDescent="0.25">
      <c r="B58" s="34" t="s">
        <v>193</v>
      </c>
      <c r="C58" s="102">
        <v>52</v>
      </c>
      <c r="D58" s="113">
        <f t="shared" si="0"/>
        <v>26</v>
      </c>
      <c r="E58" s="113">
        <f t="shared" si="1"/>
        <v>26</v>
      </c>
      <c r="F58" s="120">
        <f>F7*C58</f>
        <v>0.78</v>
      </c>
    </row>
    <row r="59" spans="2:6" x14ac:dyDescent="0.25">
      <c r="B59" s="34" t="s">
        <v>193</v>
      </c>
      <c r="C59" s="102">
        <v>53</v>
      </c>
      <c r="D59" s="113">
        <f t="shared" si="0"/>
        <v>26.5</v>
      </c>
      <c r="E59" s="113">
        <f t="shared" si="1"/>
        <v>26.5</v>
      </c>
      <c r="F59" s="120">
        <f>F7*C59</f>
        <v>0.79499999999999993</v>
      </c>
    </row>
    <row r="60" spans="2:6" x14ac:dyDescent="0.25">
      <c r="B60" s="34" t="s">
        <v>193</v>
      </c>
      <c r="C60" s="102">
        <v>54</v>
      </c>
      <c r="D60" s="113">
        <f t="shared" si="0"/>
        <v>27</v>
      </c>
      <c r="E60" s="113">
        <f t="shared" si="1"/>
        <v>27</v>
      </c>
      <c r="F60" s="120">
        <f>F7*C60</f>
        <v>0.80999999999999994</v>
      </c>
    </row>
    <row r="61" spans="2:6" x14ac:dyDescent="0.25">
      <c r="B61" s="34" t="s">
        <v>193</v>
      </c>
      <c r="C61" s="102">
        <v>55</v>
      </c>
      <c r="D61" s="113">
        <f t="shared" si="0"/>
        <v>27.5</v>
      </c>
      <c r="E61" s="113">
        <f t="shared" si="1"/>
        <v>27.5</v>
      </c>
      <c r="F61" s="120">
        <f>F7*C61</f>
        <v>0.82499999999999996</v>
      </c>
    </row>
    <row r="62" spans="2:6" x14ac:dyDescent="0.25">
      <c r="B62" s="34" t="s">
        <v>193</v>
      </c>
      <c r="C62" s="102">
        <v>56</v>
      </c>
      <c r="D62" s="113">
        <f t="shared" si="0"/>
        <v>28</v>
      </c>
      <c r="E62" s="113">
        <f t="shared" si="1"/>
        <v>28</v>
      </c>
      <c r="F62" s="120">
        <f>F7*C62</f>
        <v>0.84</v>
      </c>
    </row>
    <row r="63" spans="2:6" x14ac:dyDescent="0.25">
      <c r="B63" s="34" t="s">
        <v>193</v>
      </c>
      <c r="C63" s="102">
        <v>57</v>
      </c>
      <c r="D63" s="113">
        <f t="shared" si="0"/>
        <v>28.5</v>
      </c>
      <c r="E63" s="113">
        <f t="shared" si="1"/>
        <v>28.5</v>
      </c>
      <c r="F63" s="120">
        <f>F7*C63</f>
        <v>0.85499999999999998</v>
      </c>
    </row>
    <row r="64" spans="2:6" x14ac:dyDescent="0.25">
      <c r="B64" s="34" t="s">
        <v>193</v>
      </c>
      <c r="C64" s="102">
        <v>58</v>
      </c>
      <c r="D64" s="113">
        <f t="shared" si="0"/>
        <v>29</v>
      </c>
      <c r="E64" s="113">
        <f t="shared" si="1"/>
        <v>29</v>
      </c>
      <c r="F64" s="120">
        <f>F7*C64</f>
        <v>0.87</v>
      </c>
    </row>
    <row r="65" spans="2:6" x14ac:dyDescent="0.25">
      <c r="B65" s="34" t="s">
        <v>193</v>
      </c>
      <c r="C65" s="102">
        <v>59</v>
      </c>
      <c r="D65" s="113">
        <f t="shared" si="0"/>
        <v>29.5</v>
      </c>
      <c r="E65" s="113">
        <f t="shared" si="1"/>
        <v>29.5</v>
      </c>
      <c r="F65" s="120">
        <f>F7*C65</f>
        <v>0.88500000000000001</v>
      </c>
    </row>
    <row r="66" spans="2:6" x14ac:dyDescent="0.25">
      <c r="B66" s="34" t="s">
        <v>193</v>
      </c>
      <c r="C66" s="102">
        <v>60</v>
      </c>
      <c r="D66" s="113">
        <f t="shared" si="0"/>
        <v>30</v>
      </c>
      <c r="E66" s="113">
        <f t="shared" si="1"/>
        <v>30</v>
      </c>
      <c r="F66" s="120">
        <f>F7*C66</f>
        <v>0.89999999999999991</v>
      </c>
    </row>
    <row r="67" spans="2:6" x14ac:dyDescent="0.25">
      <c r="B67" s="34" t="s">
        <v>193</v>
      </c>
      <c r="C67" s="102">
        <v>61</v>
      </c>
      <c r="D67" s="113">
        <f t="shared" si="0"/>
        <v>30.5</v>
      </c>
      <c r="E67" s="113">
        <f t="shared" si="1"/>
        <v>30.5</v>
      </c>
      <c r="F67" s="120">
        <f>F7*C67</f>
        <v>0.91499999999999992</v>
      </c>
    </row>
    <row r="68" spans="2:6" x14ac:dyDescent="0.25">
      <c r="B68" s="34" t="s">
        <v>193</v>
      </c>
      <c r="C68" s="102">
        <v>62</v>
      </c>
      <c r="D68" s="113">
        <f t="shared" si="0"/>
        <v>31</v>
      </c>
      <c r="E68" s="113">
        <f t="shared" si="1"/>
        <v>31</v>
      </c>
      <c r="F68" s="120">
        <f>F7*C68</f>
        <v>0.92999999999999994</v>
      </c>
    </row>
    <row r="69" spans="2:6" x14ac:dyDescent="0.25">
      <c r="B69" s="34" t="s">
        <v>193</v>
      </c>
      <c r="C69" s="102">
        <v>63</v>
      </c>
      <c r="D69" s="113">
        <f t="shared" si="0"/>
        <v>31.5</v>
      </c>
      <c r="E69" s="113">
        <f t="shared" si="1"/>
        <v>31.5</v>
      </c>
      <c r="F69" s="120">
        <f>F7*C69</f>
        <v>0.94499999999999995</v>
      </c>
    </row>
    <row r="70" spans="2:6" x14ac:dyDescent="0.25">
      <c r="B70" s="34" t="s">
        <v>193</v>
      </c>
      <c r="C70" s="102">
        <v>64</v>
      </c>
      <c r="D70" s="113">
        <f t="shared" si="0"/>
        <v>32</v>
      </c>
      <c r="E70" s="113">
        <f t="shared" si="1"/>
        <v>32</v>
      </c>
      <c r="F70" s="120">
        <f>F7*C70</f>
        <v>0.96</v>
      </c>
    </row>
    <row r="71" spans="2:6" x14ac:dyDescent="0.25">
      <c r="B71" s="34" t="s">
        <v>193</v>
      </c>
      <c r="C71" s="102">
        <v>65</v>
      </c>
      <c r="D71" s="113">
        <f t="shared" ref="D71:D105" si="2">C71/2</f>
        <v>32.5</v>
      </c>
      <c r="E71" s="113">
        <f t="shared" si="1"/>
        <v>32.5</v>
      </c>
      <c r="F71" s="120">
        <f>F7*C71</f>
        <v>0.97499999999999998</v>
      </c>
    </row>
    <row r="72" spans="2:6" x14ac:dyDescent="0.25">
      <c r="B72" s="34" t="s">
        <v>193</v>
      </c>
      <c r="C72" s="102">
        <v>66</v>
      </c>
      <c r="D72" s="113">
        <f t="shared" si="2"/>
        <v>33</v>
      </c>
      <c r="E72" s="113">
        <f t="shared" ref="E72:E105" si="3">D72</f>
        <v>33</v>
      </c>
      <c r="F72" s="120">
        <f>F7*C72</f>
        <v>0.99</v>
      </c>
    </row>
    <row r="73" spans="2:6" x14ac:dyDescent="0.25">
      <c r="B73" s="34" t="s">
        <v>193</v>
      </c>
      <c r="C73" s="102">
        <v>67</v>
      </c>
      <c r="D73" s="113">
        <f t="shared" si="2"/>
        <v>33.5</v>
      </c>
      <c r="E73" s="113">
        <f t="shared" si="3"/>
        <v>33.5</v>
      </c>
      <c r="F73" s="120">
        <f>F7*C73</f>
        <v>1.0049999999999999</v>
      </c>
    </row>
    <row r="74" spans="2:6" x14ac:dyDescent="0.25">
      <c r="B74" s="34" t="s">
        <v>193</v>
      </c>
      <c r="C74" s="102">
        <v>68</v>
      </c>
      <c r="D74" s="113">
        <f t="shared" si="2"/>
        <v>34</v>
      </c>
      <c r="E74" s="113">
        <f t="shared" si="3"/>
        <v>34</v>
      </c>
      <c r="F74" s="120">
        <f>F7*C74</f>
        <v>1.02</v>
      </c>
    </row>
    <row r="75" spans="2:6" x14ac:dyDescent="0.25">
      <c r="B75" s="34" t="s">
        <v>193</v>
      </c>
      <c r="C75" s="102">
        <v>69</v>
      </c>
      <c r="D75" s="113">
        <f t="shared" si="2"/>
        <v>34.5</v>
      </c>
      <c r="E75" s="113">
        <f t="shared" si="3"/>
        <v>34.5</v>
      </c>
      <c r="F75" s="120">
        <f>F7*C75</f>
        <v>1.0349999999999999</v>
      </c>
    </row>
    <row r="76" spans="2:6" x14ac:dyDescent="0.25">
      <c r="B76" s="34" t="s">
        <v>193</v>
      </c>
      <c r="C76" s="102">
        <v>70</v>
      </c>
      <c r="D76" s="113">
        <f t="shared" si="2"/>
        <v>35</v>
      </c>
      <c r="E76" s="113">
        <f t="shared" si="3"/>
        <v>35</v>
      </c>
      <c r="F76" s="120">
        <f>F7*C76</f>
        <v>1.05</v>
      </c>
    </row>
    <row r="77" spans="2:6" x14ac:dyDescent="0.25">
      <c r="B77" s="34" t="s">
        <v>193</v>
      </c>
      <c r="C77" s="102">
        <v>71</v>
      </c>
      <c r="D77" s="113">
        <f t="shared" si="2"/>
        <v>35.5</v>
      </c>
      <c r="E77" s="113">
        <f t="shared" si="3"/>
        <v>35.5</v>
      </c>
      <c r="F77" s="120">
        <f>F7*C77</f>
        <v>1.0649999999999999</v>
      </c>
    </row>
    <row r="78" spans="2:6" x14ac:dyDescent="0.25">
      <c r="B78" s="34" t="s">
        <v>193</v>
      </c>
      <c r="C78" s="102">
        <v>72</v>
      </c>
      <c r="D78" s="113">
        <f t="shared" si="2"/>
        <v>36</v>
      </c>
      <c r="E78" s="113">
        <f t="shared" si="3"/>
        <v>36</v>
      </c>
      <c r="F78" s="120">
        <f>F7*C78</f>
        <v>1.08</v>
      </c>
    </row>
    <row r="79" spans="2:6" x14ac:dyDescent="0.25">
      <c r="B79" s="34" t="s">
        <v>193</v>
      </c>
      <c r="C79" s="102">
        <v>73</v>
      </c>
      <c r="D79" s="113">
        <f t="shared" si="2"/>
        <v>36.5</v>
      </c>
      <c r="E79" s="113">
        <f t="shared" si="3"/>
        <v>36.5</v>
      </c>
      <c r="F79" s="120">
        <f>F7*C79</f>
        <v>1.095</v>
      </c>
    </row>
    <row r="80" spans="2:6" x14ac:dyDescent="0.25">
      <c r="B80" s="34" t="s">
        <v>193</v>
      </c>
      <c r="C80" s="102">
        <v>74</v>
      </c>
      <c r="D80" s="113">
        <f t="shared" si="2"/>
        <v>37</v>
      </c>
      <c r="E80" s="113">
        <f t="shared" si="3"/>
        <v>37</v>
      </c>
      <c r="F80" s="120">
        <f>F7*C80</f>
        <v>1.1099999999999999</v>
      </c>
    </row>
    <row r="81" spans="2:6" x14ac:dyDescent="0.25">
      <c r="B81" s="34" t="s">
        <v>193</v>
      </c>
      <c r="C81" s="102">
        <v>75</v>
      </c>
      <c r="D81" s="113">
        <f t="shared" si="2"/>
        <v>37.5</v>
      </c>
      <c r="E81" s="113">
        <f t="shared" si="3"/>
        <v>37.5</v>
      </c>
      <c r="F81" s="120">
        <f>F7*C81</f>
        <v>1.125</v>
      </c>
    </row>
    <row r="82" spans="2:6" x14ac:dyDescent="0.25">
      <c r="B82" s="34" t="s">
        <v>193</v>
      </c>
      <c r="C82" s="102">
        <v>76</v>
      </c>
      <c r="D82" s="113">
        <f t="shared" si="2"/>
        <v>38</v>
      </c>
      <c r="E82" s="113">
        <f t="shared" si="3"/>
        <v>38</v>
      </c>
      <c r="F82" s="120">
        <f>F7*C82</f>
        <v>1.1399999999999999</v>
      </c>
    </row>
    <row r="83" spans="2:6" x14ac:dyDescent="0.25">
      <c r="B83" s="34" t="s">
        <v>193</v>
      </c>
      <c r="C83" s="102">
        <v>77</v>
      </c>
      <c r="D83" s="113">
        <f t="shared" si="2"/>
        <v>38.5</v>
      </c>
      <c r="E83" s="113">
        <f t="shared" si="3"/>
        <v>38.5</v>
      </c>
      <c r="F83" s="120">
        <f>F7*C83</f>
        <v>1.155</v>
      </c>
    </row>
    <row r="84" spans="2:6" x14ac:dyDescent="0.25">
      <c r="B84" s="34" t="s">
        <v>193</v>
      </c>
      <c r="C84" s="102">
        <v>78</v>
      </c>
      <c r="D84" s="113">
        <f t="shared" si="2"/>
        <v>39</v>
      </c>
      <c r="E84" s="113">
        <f t="shared" si="3"/>
        <v>39</v>
      </c>
      <c r="F84" s="120">
        <f>F7*C84</f>
        <v>1.17</v>
      </c>
    </row>
    <row r="85" spans="2:6" x14ac:dyDescent="0.25">
      <c r="B85" s="34" t="s">
        <v>193</v>
      </c>
      <c r="C85" s="102">
        <v>79</v>
      </c>
      <c r="D85" s="113">
        <f t="shared" si="2"/>
        <v>39.5</v>
      </c>
      <c r="E85" s="113">
        <f t="shared" si="3"/>
        <v>39.5</v>
      </c>
      <c r="F85" s="120">
        <f>F7*C85</f>
        <v>1.1850000000000001</v>
      </c>
    </row>
    <row r="86" spans="2:6" x14ac:dyDescent="0.25">
      <c r="B86" s="34" t="s">
        <v>193</v>
      </c>
      <c r="C86" s="102">
        <v>80</v>
      </c>
      <c r="D86" s="113">
        <f t="shared" si="2"/>
        <v>40</v>
      </c>
      <c r="E86" s="113">
        <f t="shared" si="3"/>
        <v>40</v>
      </c>
      <c r="F86" s="120">
        <f>F7*C86</f>
        <v>1.2</v>
      </c>
    </row>
    <row r="87" spans="2:6" x14ac:dyDescent="0.25">
      <c r="B87" s="34" t="s">
        <v>193</v>
      </c>
      <c r="C87" s="102">
        <v>81</v>
      </c>
      <c r="D87" s="113">
        <f t="shared" si="2"/>
        <v>40.5</v>
      </c>
      <c r="E87" s="113">
        <f t="shared" si="3"/>
        <v>40.5</v>
      </c>
      <c r="F87" s="120">
        <f>F7*C87</f>
        <v>1.2149999999999999</v>
      </c>
    </row>
    <row r="88" spans="2:6" x14ac:dyDescent="0.25">
      <c r="B88" s="34" t="s">
        <v>193</v>
      </c>
      <c r="C88" s="102">
        <v>82</v>
      </c>
      <c r="D88" s="113">
        <f t="shared" si="2"/>
        <v>41</v>
      </c>
      <c r="E88" s="113">
        <f t="shared" si="3"/>
        <v>41</v>
      </c>
      <c r="F88" s="120">
        <f>F7*C88</f>
        <v>1.23</v>
      </c>
    </row>
    <row r="89" spans="2:6" x14ac:dyDescent="0.25">
      <c r="B89" s="34" t="s">
        <v>193</v>
      </c>
      <c r="C89" s="102">
        <v>83</v>
      </c>
      <c r="D89" s="113">
        <f t="shared" si="2"/>
        <v>41.5</v>
      </c>
      <c r="E89" s="113">
        <f t="shared" si="3"/>
        <v>41.5</v>
      </c>
      <c r="F89" s="120">
        <f>F7*C89</f>
        <v>1.2449999999999999</v>
      </c>
    </row>
    <row r="90" spans="2:6" x14ac:dyDescent="0.25">
      <c r="B90" s="34" t="s">
        <v>193</v>
      </c>
      <c r="C90" s="102">
        <v>84</v>
      </c>
      <c r="D90" s="113">
        <f t="shared" si="2"/>
        <v>42</v>
      </c>
      <c r="E90" s="113">
        <f t="shared" si="3"/>
        <v>42</v>
      </c>
      <c r="F90" s="120">
        <f>F7*C90</f>
        <v>1.26</v>
      </c>
    </row>
    <row r="91" spans="2:6" x14ac:dyDescent="0.25">
      <c r="B91" s="34" t="s">
        <v>193</v>
      </c>
      <c r="C91" s="102">
        <v>85</v>
      </c>
      <c r="D91" s="113">
        <f t="shared" si="2"/>
        <v>42.5</v>
      </c>
      <c r="E91" s="113">
        <f t="shared" si="3"/>
        <v>42.5</v>
      </c>
      <c r="F91" s="120">
        <f>F7*C91</f>
        <v>1.2749999999999999</v>
      </c>
    </row>
    <row r="92" spans="2:6" x14ac:dyDescent="0.25">
      <c r="B92" s="34" t="s">
        <v>193</v>
      </c>
      <c r="C92" s="102">
        <v>86</v>
      </c>
      <c r="D92" s="113">
        <f t="shared" si="2"/>
        <v>43</v>
      </c>
      <c r="E92" s="113">
        <f t="shared" si="3"/>
        <v>43</v>
      </c>
      <c r="F92" s="120">
        <f>F7*C92</f>
        <v>1.29</v>
      </c>
    </row>
    <row r="93" spans="2:6" x14ac:dyDescent="0.25">
      <c r="B93" s="34" t="s">
        <v>193</v>
      </c>
      <c r="C93" s="102">
        <v>87</v>
      </c>
      <c r="D93" s="113">
        <f t="shared" si="2"/>
        <v>43.5</v>
      </c>
      <c r="E93" s="113">
        <f t="shared" si="3"/>
        <v>43.5</v>
      </c>
      <c r="F93" s="120">
        <f>F7*C93</f>
        <v>1.3049999999999999</v>
      </c>
    </row>
    <row r="94" spans="2:6" x14ac:dyDescent="0.25">
      <c r="B94" s="34" t="s">
        <v>193</v>
      </c>
      <c r="C94" s="102">
        <v>88</v>
      </c>
      <c r="D94" s="113">
        <f t="shared" si="2"/>
        <v>44</v>
      </c>
      <c r="E94" s="113">
        <f t="shared" si="3"/>
        <v>44</v>
      </c>
      <c r="F94" s="120">
        <f>F7*C94</f>
        <v>1.3199999999999998</v>
      </c>
    </row>
    <row r="95" spans="2:6" x14ac:dyDescent="0.25">
      <c r="B95" s="34" t="s">
        <v>193</v>
      </c>
      <c r="C95" s="102">
        <v>89</v>
      </c>
      <c r="D95" s="113">
        <f t="shared" si="2"/>
        <v>44.5</v>
      </c>
      <c r="E95" s="113">
        <f t="shared" si="3"/>
        <v>44.5</v>
      </c>
      <c r="F95" s="120">
        <f>F7*C95</f>
        <v>1.335</v>
      </c>
    </row>
    <row r="96" spans="2:6" x14ac:dyDescent="0.25">
      <c r="B96" s="34" t="s">
        <v>193</v>
      </c>
      <c r="C96" s="102">
        <v>90</v>
      </c>
      <c r="D96" s="113">
        <f t="shared" si="2"/>
        <v>45</v>
      </c>
      <c r="E96" s="113">
        <f t="shared" si="3"/>
        <v>45</v>
      </c>
      <c r="F96" s="120">
        <f>F7*C96</f>
        <v>1.3499999999999999</v>
      </c>
    </row>
    <row r="97" spans="2:6" x14ac:dyDescent="0.25">
      <c r="B97" s="34" t="s">
        <v>193</v>
      </c>
      <c r="C97" s="102">
        <v>91</v>
      </c>
      <c r="D97" s="113">
        <f t="shared" si="2"/>
        <v>45.5</v>
      </c>
      <c r="E97" s="113">
        <f t="shared" si="3"/>
        <v>45.5</v>
      </c>
      <c r="F97" s="120">
        <f>F7*C97</f>
        <v>1.365</v>
      </c>
    </row>
    <row r="98" spans="2:6" x14ac:dyDescent="0.25">
      <c r="B98" s="34" t="s">
        <v>193</v>
      </c>
      <c r="C98" s="102">
        <v>92</v>
      </c>
      <c r="D98" s="113">
        <f t="shared" si="2"/>
        <v>46</v>
      </c>
      <c r="E98" s="113">
        <f t="shared" si="3"/>
        <v>46</v>
      </c>
      <c r="F98" s="120">
        <f>F7*C98</f>
        <v>1.38</v>
      </c>
    </row>
    <row r="99" spans="2:6" x14ac:dyDescent="0.25">
      <c r="B99" s="34" t="s">
        <v>193</v>
      </c>
      <c r="C99" s="102">
        <v>93</v>
      </c>
      <c r="D99" s="113">
        <f t="shared" si="2"/>
        <v>46.5</v>
      </c>
      <c r="E99" s="113">
        <f t="shared" si="3"/>
        <v>46.5</v>
      </c>
      <c r="F99" s="120">
        <f>F7*C99</f>
        <v>1.395</v>
      </c>
    </row>
    <row r="100" spans="2:6" x14ac:dyDescent="0.25">
      <c r="B100" s="34" t="s">
        <v>193</v>
      </c>
      <c r="C100" s="102">
        <v>94</v>
      </c>
      <c r="D100" s="113">
        <f t="shared" si="2"/>
        <v>47</v>
      </c>
      <c r="E100" s="113">
        <f t="shared" si="3"/>
        <v>47</v>
      </c>
      <c r="F100" s="120">
        <f>F7*C100</f>
        <v>1.41</v>
      </c>
    </row>
    <row r="101" spans="2:6" x14ac:dyDescent="0.25">
      <c r="B101" s="34" t="s">
        <v>193</v>
      </c>
      <c r="C101" s="102">
        <v>95</v>
      </c>
      <c r="D101" s="113">
        <f t="shared" si="2"/>
        <v>47.5</v>
      </c>
      <c r="E101" s="113">
        <f t="shared" si="3"/>
        <v>47.5</v>
      </c>
      <c r="F101" s="120">
        <f>F7*C101</f>
        <v>1.425</v>
      </c>
    </row>
    <row r="102" spans="2:6" x14ac:dyDescent="0.25">
      <c r="B102" s="34" t="s">
        <v>193</v>
      </c>
      <c r="C102" s="102">
        <v>96</v>
      </c>
      <c r="D102" s="113">
        <f t="shared" si="2"/>
        <v>48</v>
      </c>
      <c r="E102" s="113">
        <f t="shared" si="3"/>
        <v>48</v>
      </c>
      <c r="F102" s="120">
        <f>F7*C102</f>
        <v>1.44</v>
      </c>
    </row>
    <row r="103" spans="2:6" x14ac:dyDescent="0.25">
      <c r="B103" s="34" t="s">
        <v>193</v>
      </c>
      <c r="C103" s="102">
        <v>97</v>
      </c>
      <c r="D103" s="113">
        <f t="shared" si="2"/>
        <v>48.5</v>
      </c>
      <c r="E103" s="113">
        <f t="shared" si="3"/>
        <v>48.5</v>
      </c>
      <c r="F103" s="120">
        <f>F7*C103</f>
        <v>1.4549999999999998</v>
      </c>
    </row>
    <row r="104" spans="2:6" x14ac:dyDescent="0.25">
      <c r="B104" s="34" t="s">
        <v>193</v>
      </c>
      <c r="C104" s="102">
        <v>98</v>
      </c>
      <c r="D104" s="113">
        <f t="shared" si="2"/>
        <v>49</v>
      </c>
      <c r="E104" s="113">
        <f t="shared" si="3"/>
        <v>49</v>
      </c>
      <c r="F104" s="120">
        <f>F7*C104</f>
        <v>1.47</v>
      </c>
    </row>
    <row r="105" spans="2:6" x14ac:dyDescent="0.25">
      <c r="B105" s="34" t="s">
        <v>193</v>
      </c>
      <c r="C105" s="102">
        <v>99</v>
      </c>
      <c r="D105" s="113">
        <f t="shared" si="2"/>
        <v>49.5</v>
      </c>
      <c r="E105" s="113">
        <f t="shared" si="3"/>
        <v>49.5</v>
      </c>
      <c r="F105" s="120">
        <f>F7*C105</f>
        <v>1.4849999999999999</v>
      </c>
    </row>
    <row r="106" spans="2:6" ht="15.75" thickBot="1" x14ac:dyDescent="0.3">
      <c r="B106" s="34" t="s">
        <v>193</v>
      </c>
      <c r="C106" s="103">
        <v>100</v>
      </c>
      <c r="D106" s="121">
        <f t="shared" ref="D106" si="4">C106/2</f>
        <v>50</v>
      </c>
      <c r="E106" s="121">
        <f t="shared" ref="E106" si="5">D106</f>
        <v>50</v>
      </c>
      <c r="F106" s="122">
        <f>F7*C106</f>
        <v>1.5</v>
      </c>
    </row>
  </sheetData>
  <mergeCells count="4">
    <mergeCell ref="D5:E5"/>
    <mergeCell ref="K13:L13"/>
    <mergeCell ref="H12:M12"/>
    <mergeCell ref="C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5"/>
  <sheetViews>
    <sheetView workbookViewId="0">
      <selection activeCell="D23" sqref="D23"/>
    </sheetView>
  </sheetViews>
  <sheetFormatPr baseColWidth="10" defaultRowHeight="15" x14ac:dyDescent="0.25"/>
  <cols>
    <col min="2" max="2" width="22.5703125" customWidth="1"/>
    <col min="3" max="3" width="26" customWidth="1"/>
    <col min="4" max="4" width="34.7109375" customWidth="1"/>
    <col min="5" max="5" width="48.28515625" customWidth="1"/>
    <col min="12" max="12" width="41.85546875" customWidth="1"/>
  </cols>
  <sheetData>
    <row r="4" spans="2:10" ht="23.25" x14ac:dyDescent="0.35">
      <c r="B4" s="202"/>
      <c r="C4" s="165"/>
      <c r="D4" s="165"/>
      <c r="E4" s="165"/>
      <c r="F4" s="165"/>
      <c r="G4" s="165"/>
      <c r="H4" s="165"/>
      <c r="I4" s="165"/>
      <c r="J4" s="165"/>
    </row>
    <row r="5" spans="2:10" x14ac:dyDescent="0.25">
      <c r="B5" s="31"/>
      <c r="C5" s="30"/>
      <c r="D5" s="30"/>
      <c r="E5" s="30"/>
      <c r="F5" s="30"/>
      <c r="G5" s="30"/>
      <c r="H5" s="30"/>
      <c r="I5" s="30"/>
      <c r="J5" s="30"/>
    </row>
    <row r="6" spans="2:10" ht="15.75" thickBot="1" x14ac:dyDescent="0.3">
      <c r="B6" s="31"/>
      <c r="C6" s="30"/>
      <c r="D6" s="30"/>
      <c r="E6" s="30"/>
      <c r="F6" s="30"/>
      <c r="G6" s="30"/>
      <c r="H6" s="30"/>
      <c r="I6" s="30"/>
      <c r="J6" s="30"/>
    </row>
    <row r="7" spans="2:10" ht="46.5" customHeight="1" thickBot="1" x14ac:dyDescent="0.3">
      <c r="B7" s="203" t="s">
        <v>169</v>
      </c>
      <c r="C7" s="204"/>
    </row>
    <row r="8" spans="2:10" ht="25.5" customHeight="1" x14ac:dyDescent="0.25">
      <c r="B8" s="13">
        <v>0.16</v>
      </c>
      <c r="C8" s="13" t="s">
        <v>164</v>
      </c>
    </row>
    <row r="9" spans="2:10" x14ac:dyDescent="0.25">
      <c r="B9" s="14">
        <v>25</v>
      </c>
      <c r="C9" s="14" t="s">
        <v>165</v>
      </c>
    </row>
    <row r="10" spans="2:10" x14ac:dyDescent="0.25">
      <c r="B10" s="14">
        <v>8</v>
      </c>
      <c r="C10" s="14" t="s">
        <v>166</v>
      </c>
    </row>
    <row r="11" spans="2:10" ht="51.75" customHeight="1" x14ac:dyDescent="0.25"/>
    <row r="15" spans="2:10" ht="42" customHeight="1" x14ac:dyDescent="0.25"/>
  </sheetData>
  <mergeCells count="2">
    <mergeCell ref="B4:J4"/>
    <mergeCell ref="B7:C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Hoja2!$F$4:$F$75</xm:f>
          </x14:formula1>
          <xm:sqref>B6</xm:sqref>
        </x14:dataValidation>
        <x14:dataValidation type="list" allowBlank="1" showInputMessage="1" showErrorMessage="1">
          <x14:formula1>
            <xm:f>Hoja2!$B$4:$B$45</xm:f>
          </x14:formula1>
          <xm:sqref>G6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F27"/>
  <sheetViews>
    <sheetView topLeftCell="A4" workbookViewId="0">
      <selection activeCell="C32" sqref="C32"/>
    </sheetView>
  </sheetViews>
  <sheetFormatPr baseColWidth="10" defaultRowHeight="15" x14ac:dyDescent="0.25"/>
  <cols>
    <col min="1" max="1" width="5.5703125" customWidth="1"/>
    <col min="2" max="2" width="38.42578125" customWidth="1"/>
    <col min="3" max="3" width="22.42578125" customWidth="1"/>
    <col min="4" max="4" width="25.85546875" customWidth="1"/>
    <col min="5" max="5" width="18.140625" customWidth="1"/>
    <col min="6" max="6" width="16.7109375" customWidth="1"/>
  </cols>
  <sheetData>
    <row r="3" spans="2:6" ht="15.75" thickBot="1" x14ac:dyDescent="0.3"/>
    <row r="4" spans="2:6" ht="15.75" thickBot="1" x14ac:dyDescent="0.3">
      <c r="B4" s="38" t="s">
        <v>161</v>
      </c>
      <c r="C4" s="39"/>
      <c r="D4" s="40"/>
    </row>
    <row r="5" spans="2:6" ht="15.75" thickBot="1" x14ac:dyDescent="0.3">
      <c r="B5" s="41" t="s">
        <v>140</v>
      </c>
      <c r="C5" s="42" t="s">
        <v>141</v>
      </c>
      <c r="D5" s="43" t="s">
        <v>148</v>
      </c>
      <c r="E5" s="61" t="s">
        <v>170</v>
      </c>
      <c r="F5" s="16" t="s">
        <v>179</v>
      </c>
    </row>
    <row r="6" spans="2:6" x14ac:dyDescent="0.25">
      <c r="B6" s="37" t="s">
        <v>142</v>
      </c>
      <c r="C6" s="56">
        <v>1</v>
      </c>
      <c r="D6" s="57">
        <v>0.61</v>
      </c>
      <c r="E6" s="62">
        <f>D6/C6</f>
        <v>0.61</v>
      </c>
      <c r="F6" s="66">
        <f>(D6*25)/4</f>
        <v>3.8125</v>
      </c>
    </row>
    <row r="7" spans="2:6" x14ac:dyDescent="0.25">
      <c r="B7" s="8" t="s">
        <v>143</v>
      </c>
      <c r="C7" s="14">
        <v>2</v>
      </c>
      <c r="D7" s="58">
        <v>0.23499999999999999</v>
      </c>
      <c r="E7" s="34">
        <f t="shared" ref="E7:E8" si="0">D7/C7</f>
        <v>0.11749999999999999</v>
      </c>
      <c r="F7" s="64"/>
    </row>
    <row r="8" spans="2:6" ht="15.75" thickBot="1" x14ac:dyDescent="0.3">
      <c r="B8" s="10" t="s">
        <v>144</v>
      </c>
      <c r="C8" s="32">
        <v>4</v>
      </c>
      <c r="D8" s="59">
        <v>0.08</v>
      </c>
      <c r="E8" s="63">
        <f t="shared" si="0"/>
        <v>0.02</v>
      </c>
      <c r="F8" s="65"/>
    </row>
    <row r="9" spans="2:6" ht="15.75" thickBot="1" x14ac:dyDescent="0.3">
      <c r="B9" s="3"/>
      <c r="C9" s="3"/>
      <c r="D9" s="17"/>
    </row>
    <row r="10" spans="2:6" ht="15.75" thickBot="1" x14ac:dyDescent="0.3">
      <c r="B10" s="28" t="s">
        <v>178</v>
      </c>
      <c r="C10" s="27"/>
      <c r="D10" s="29"/>
      <c r="E10" s="44"/>
    </row>
    <row r="11" spans="2:6" ht="15.75" thickBot="1" x14ac:dyDescent="0.3">
      <c r="B11" s="45" t="s">
        <v>140</v>
      </c>
      <c r="C11" s="46" t="s">
        <v>141</v>
      </c>
      <c r="D11" s="47" t="s">
        <v>148</v>
      </c>
      <c r="E11" s="7"/>
    </row>
    <row r="12" spans="2:6" x14ac:dyDescent="0.25">
      <c r="B12" s="37" t="s">
        <v>145</v>
      </c>
      <c r="C12" s="56">
        <v>1</v>
      </c>
      <c r="D12" s="56">
        <v>610</v>
      </c>
      <c r="E12" s="53">
        <f>D12/C12</f>
        <v>610</v>
      </c>
    </row>
    <row r="13" spans="2:6" x14ac:dyDescent="0.25">
      <c r="B13" s="8" t="s">
        <v>146</v>
      </c>
      <c r="C13" s="14">
        <v>2</v>
      </c>
      <c r="D13" s="14">
        <v>235</v>
      </c>
      <c r="E13" s="54">
        <f t="shared" ref="E13:E14" si="1">D13/C13</f>
        <v>117.5</v>
      </c>
    </row>
    <row r="14" spans="2:6" ht="15.75" thickBot="1" x14ac:dyDescent="0.3">
      <c r="B14" s="10" t="s">
        <v>147</v>
      </c>
      <c r="C14" s="32">
        <v>4</v>
      </c>
      <c r="D14" s="32">
        <v>0.08</v>
      </c>
      <c r="E14" s="55">
        <f t="shared" si="1"/>
        <v>0.02</v>
      </c>
    </row>
    <row r="15" spans="2:6" x14ac:dyDescent="0.25">
      <c r="D15" s="18"/>
    </row>
    <row r="16" spans="2:6" ht="15.75" thickBot="1" x14ac:dyDescent="0.3"/>
    <row r="17" spans="2:4" ht="15.75" thickBot="1" x14ac:dyDescent="0.3">
      <c r="B17" s="205" t="s">
        <v>160</v>
      </c>
      <c r="C17" s="206"/>
      <c r="D17" s="207"/>
    </row>
    <row r="18" spans="2:4" x14ac:dyDescent="0.25">
      <c r="B18" s="51" t="s">
        <v>149</v>
      </c>
      <c r="C18" s="52" t="s">
        <v>150</v>
      </c>
      <c r="D18" s="35"/>
    </row>
    <row r="19" spans="2:4" x14ac:dyDescent="0.25">
      <c r="B19" s="48" t="s">
        <v>151</v>
      </c>
      <c r="C19" s="19"/>
      <c r="D19" s="9"/>
    </row>
    <row r="20" spans="2:4" x14ac:dyDescent="0.25">
      <c r="B20" s="48" t="s">
        <v>152</v>
      </c>
      <c r="C20" s="20"/>
      <c r="D20" s="9"/>
    </row>
    <row r="21" spans="2:4" x14ac:dyDescent="0.25">
      <c r="B21" s="48" t="s">
        <v>153</v>
      </c>
      <c r="C21" s="21"/>
      <c r="D21" s="9"/>
    </row>
    <row r="22" spans="2:4" x14ac:dyDescent="0.25">
      <c r="B22" s="48" t="s">
        <v>154</v>
      </c>
      <c r="C22" s="22"/>
      <c r="D22" s="9"/>
    </row>
    <row r="23" spans="2:4" x14ac:dyDescent="0.25">
      <c r="B23" s="48" t="s">
        <v>155</v>
      </c>
      <c r="C23" s="23"/>
      <c r="D23" s="9"/>
    </row>
    <row r="24" spans="2:4" x14ac:dyDescent="0.25">
      <c r="B24" s="48" t="s">
        <v>156</v>
      </c>
      <c r="C24" s="24"/>
      <c r="D24" s="9"/>
    </row>
    <row r="25" spans="2:4" x14ac:dyDescent="0.25">
      <c r="B25" s="48" t="s">
        <v>157</v>
      </c>
      <c r="C25" s="25"/>
      <c r="D25" s="9"/>
    </row>
    <row r="26" spans="2:4" x14ac:dyDescent="0.25">
      <c r="B26" s="48" t="s">
        <v>158</v>
      </c>
      <c r="C26" s="26"/>
      <c r="D26" s="9"/>
    </row>
    <row r="27" spans="2:4" ht="15.75" thickBot="1" x14ac:dyDescent="0.3">
      <c r="B27" s="49" t="s">
        <v>159</v>
      </c>
      <c r="C27" s="50"/>
      <c r="D27" s="12"/>
    </row>
  </sheetData>
  <mergeCells count="1">
    <mergeCell ref="B17:D17"/>
  </mergeCells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5"/>
  <sheetViews>
    <sheetView workbookViewId="0">
      <selection activeCell="B92" sqref="B92:H97"/>
    </sheetView>
  </sheetViews>
  <sheetFormatPr baseColWidth="10" defaultRowHeight="15" x14ac:dyDescent="0.25"/>
  <cols>
    <col min="2" max="2" width="64.140625" customWidth="1"/>
    <col min="6" max="6" width="32.5703125" customWidth="1"/>
  </cols>
  <sheetData>
    <row r="2" spans="2:6" ht="15.75" thickBot="1" x14ac:dyDescent="0.3"/>
    <row r="3" spans="2:6" ht="15.75" thickBot="1" x14ac:dyDescent="0.3">
      <c r="B3" s="16" t="s">
        <v>0</v>
      </c>
      <c r="D3" s="16" t="s">
        <v>138</v>
      </c>
      <c r="F3" s="16" t="s">
        <v>137</v>
      </c>
    </row>
    <row r="4" spans="2:6" x14ac:dyDescent="0.25">
      <c r="B4" s="2" t="s">
        <v>8</v>
      </c>
      <c r="D4" s="2" t="s">
        <v>53</v>
      </c>
      <c r="F4" s="2" t="s">
        <v>66</v>
      </c>
    </row>
    <row r="5" spans="2:6" x14ac:dyDescent="0.25">
      <c r="B5" s="1" t="s">
        <v>9</v>
      </c>
      <c r="D5" s="1" t="s">
        <v>54</v>
      </c>
      <c r="F5" s="1" t="s">
        <v>67</v>
      </c>
    </row>
    <row r="6" spans="2:6" x14ac:dyDescent="0.25">
      <c r="B6" s="1" t="s">
        <v>10</v>
      </c>
      <c r="D6" s="1" t="s">
        <v>55</v>
      </c>
      <c r="F6" s="1" t="s">
        <v>68</v>
      </c>
    </row>
    <row r="7" spans="2:6" x14ac:dyDescent="0.25">
      <c r="B7" s="1" t="s">
        <v>11</v>
      </c>
      <c r="D7" s="1" t="s">
        <v>56</v>
      </c>
      <c r="F7" s="1" t="s">
        <v>69</v>
      </c>
    </row>
    <row r="8" spans="2:6" x14ac:dyDescent="0.25">
      <c r="B8" s="1" t="s">
        <v>12</v>
      </c>
      <c r="D8" s="1" t="s">
        <v>57</v>
      </c>
      <c r="F8" s="1" t="s">
        <v>70</v>
      </c>
    </row>
    <row r="9" spans="2:6" x14ac:dyDescent="0.25">
      <c r="B9" s="1" t="s">
        <v>13</v>
      </c>
      <c r="D9" s="1" t="s">
        <v>58</v>
      </c>
      <c r="F9" s="1" t="s">
        <v>71</v>
      </c>
    </row>
    <row r="10" spans="2:6" x14ac:dyDescent="0.25">
      <c r="B10" s="1" t="s">
        <v>14</v>
      </c>
      <c r="D10" s="1" t="s">
        <v>59</v>
      </c>
      <c r="F10" s="1" t="s">
        <v>72</v>
      </c>
    </row>
    <row r="11" spans="2:6" x14ac:dyDescent="0.25">
      <c r="B11" s="1" t="s">
        <v>15</v>
      </c>
      <c r="D11" s="1" t="s">
        <v>60</v>
      </c>
      <c r="F11" s="1" t="s">
        <v>73</v>
      </c>
    </row>
    <row r="12" spans="2:6" x14ac:dyDescent="0.25">
      <c r="B12" s="1" t="s">
        <v>16</v>
      </c>
      <c r="D12" s="1" t="s">
        <v>61</v>
      </c>
      <c r="F12" s="1" t="s">
        <v>74</v>
      </c>
    </row>
    <row r="13" spans="2:6" x14ac:dyDescent="0.25">
      <c r="B13" s="1" t="s">
        <v>17</v>
      </c>
      <c r="D13" s="1" t="s">
        <v>62</v>
      </c>
      <c r="F13" s="1" t="s">
        <v>75</v>
      </c>
    </row>
    <row r="14" spans="2:6" x14ac:dyDescent="0.25">
      <c r="B14" s="1" t="s">
        <v>18</v>
      </c>
      <c r="D14" s="1" t="s">
        <v>63</v>
      </c>
      <c r="F14" s="1" t="s">
        <v>76</v>
      </c>
    </row>
    <row r="15" spans="2:6" x14ac:dyDescent="0.25">
      <c r="B15" s="1" t="s">
        <v>19</v>
      </c>
      <c r="D15" s="1" t="s">
        <v>64</v>
      </c>
      <c r="F15" s="1" t="s">
        <v>77</v>
      </c>
    </row>
    <row r="16" spans="2:6" x14ac:dyDescent="0.25">
      <c r="B16" s="1" t="s">
        <v>20</v>
      </c>
      <c r="D16" s="1" t="s">
        <v>65</v>
      </c>
      <c r="F16" s="1" t="s">
        <v>78</v>
      </c>
    </row>
    <row r="17" spans="2:6" x14ac:dyDescent="0.25">
      <c r="B17" s="1" t="s">
        <v>21</v>
      </c>
      <c r="F17" s="1" t="s">
        <v>79</v>
      </c>
    </row>
    <row r="18" spans="2:6" x14ac:dyDescent="0.25">
      <c r="B18" s="1" t="s">
        <v>22</v>
      </c>
      <c r="F18" s="1" t="s">
        <v>80</v>
      </c>
    </row>
    <row r="19" spans="2:6" x14ac:dyDescent="0.25">
      <c r="B19" s="1" t="s">
        <v>23</v>
      </c>
      <c r="F19" s="1" t="s">
        <v>81</v>
      </c>
    </row>
    <row r="20" spans="2:6" x14ac:dyDescent="0.25">
      <c r="B20" s="1" t="s">
        <v>24</v>
      </c>
      <c r="F20" s="1" t="s">
        <v>82</v>
      </c>
    </row>
    <row r="21" spans="2:6" x14ac:dyDescent="0.25">
      <c r="B21" s="1" t="s">
        <v>25</v>
      </c>
      <c r="F21" s="1" t="s">
        <v>83</v>
      </c>
    </row>
    <row r="22" spans="2:6" x14ac:dyDescent="0.25">
      <c r="B22" s="1" t="s">
        <v>26</v>
      </c>
      <c r="F22" s="1" t="s">
        <v>84</v>
      </c>
    </row>
    <row r="23" spans="2:6" x14ac:dyDescent="0.25">
      <c r="B23" s="1" t="s">
        <v>27</v>
      </c>
      <c r="F23" s="1" t="s">
        <v>85</v>
      </c>
    </row>
    <row r="24" spans="2:6" x14ac:dyDescent="0.25">
      <c r="B24" s="1" t="s">
        <v>28</v>
      </c>
      <c r="F24" s="1" t="s">
        <v>86</v>
      </c>
    </row>
    <row r="25" spans="2:6" x14ac:dyDescent="0.25">
      <c r="B25" s="1" t="s">
        <v>29</v>
      </c>
      <c r="F25" s="1" t="s">
        <v>87</v>
      </c>
    </row>
    <row r="26" spans="2:6" x14ac:dyDescent="0.25">
      <c r="B26" s="1" t="s">
        <v>30</v>
      </c>
      <c r="F26" s="1" t="s">
        <v>88</v>
      </c>
    </row>
    <row r="27" spans="2:6" x14ac:dyDescent="0.25">
      <c r="B27" s="1" t="s">
        <v>31</v>
      </c>
      <c r="F27" s="1" t="s">
        <v>89</v>
      </c>
    </row>
    <row r="28" spans="2:6" x14ac:dyDescent="0.25">
      <c r="B28" s="1" t="s">
        <v>32</v>
      </c>
      <c r="F28" s="1" t="s">
        <v>90</v>
      </c>
    </row>
    <row r="29" spans="2:6" x14ac:dyDescent="0.25">
      <c r="B29" s="1" t="s">
        <v>33</v>
      </c>
      <c r="F29" s="1" t="s">
        <v>91</v>
      </c>
    </row>
    <row r="30" spans="2:6" x14ac:dyDescent="0.25">
      <c r="B30" s="1" t="s">
        <v>34</v>
      </c>
      <c r="F30" s="1" t="s">
        <v>92</v>
      </c>
    </row>
    <row r="31" spans="2:6" x14ac:dyDescent="0.25">
      <c r="B31" s="1" t="s">
        <v>35</v>
      </c>
      <c r="F31" s="1" t="s">
        <v>93</v>
      </c>
    </row>
    <row r="32" spans="2:6" x14ac:dyDescent="0.25">
      <c r="B32" s="1" t="s">
        <v>36</v>
      </c>
      <c r="F32" s="1" t="s">
        <v>94</v>
      </c>
    </row>
    <row r="33" spans="2:6" x14ac:dyDescent="0.25">
      <c r="B33" s="1" t="s">
        <v>37</v>
      </c>
      <c r="F33" s="1" t="s">
        <v>95</v>
      </c>
    </row>
    <row r="34" spans="2:6" x14ac:dyDescent="0.25">
      <c r="B34" s="1" t="s">
        <v>38</v>
      </c>
      <c r="F34" s="1" t="s">
        <v>96</v>
      </c>
    </row>
    <row r="35" spans="2:6" x14ac:dyDescent="0.25">
      <c r="B35" s="1" t="s">
        <v>39</v>
      </c>
      <c r="F35" s="1" t="s">
        <v>97</v>
      </c>
    </row>
    <row r="36" spans="2:6" x14ac:dyDescent="0.25">
      <c r="B36" s="1" t="s">
        <v>40</v>
      </c>
      <c r="F36" s="1" t="s">
        <v>98</v>
      </c>
    </row>
    <row r="37" spans="2:6" x14ac:dyDescent="0.25">
      <c r="B37" s="1" t="s">
        <v>41</v>
      </c>
      <c r="F37" s="1" t="s">
        <v>99</v>
      </c>
    </row>
    <row r="38" spans="2:6" x14ac:dyDescent="0.25">
      <c r="B38" s="1" t="s">
        <v>42</v>
      </c>
      <c r="F38" s="1" t="s">
        <v>100</v>
      </c>
    </row>
    <row r="39" spans="2:6" x14ac:dyDescent="0.25">
      <c r="B39" s="1" t="s">
        <v>43</v>
      </c>
      <c r="F39" s="1" t="s">
        <v>101</v>
      </c>
    </row>
    <row r="40" spans="2:6" x14ac:dyDescent="0.25">
      <c r="B40" s="1" t="s">
        <v>44</v>
      </c>
      <c r="F40" s="1" t="s">
        <v>102</v>
      </c>
    </row>
    <row r="41" spans="2:6" x14ac:dyDescent="0.25">
      <c r="B41" s="1" t="s">
        <v>45</v>
      </c>
      <c r="F41" s="1" t="s">
        <v>103</v>
      </c>
    </row>
    <row r="42" spans="2:6" x14ac:dyDescent="0.25">
      <c r="B42" s="1" t="s">
        <v>46</v>
      </c>
      <c r="F42" s="1" t="s">
        <v>104</v>
      </c>
    </row>
    <row r="43" spans="2:6" x14ac:dyDescent="0.25">
      <c r="B43" s="1" t="s">
        <v>47</v>
      </c>
      <c r="F43" s="1" t="s">
        <v>105</v>
      </c>
    </row>
    <row r="44" spans="2:6" x14ac:dyDescent="0.25">
      <c r="B44" s="1" t="s">
        <v>48</v>
      </c>
      <c r="F44" s="1" t="s">
        <v>106</v>
      </c>
    </row>
    <row r="45" spans="2:6" x14ac:dyDescent="0.25">
      <c r="B45" s="1" t="s">
        <v>49</v>
      </c>
      <c r="F45" s="1" t="s">
        <v>107</v>
      </c>
    </row>
    <row r="46" spans="2:6" x14ac:dyDescent="0.25">
      <c r="F46" s="1" t="s">
        <v>108</v>
      </c>
    </row>
    <row r="47" spans="2:6" x14ac:dyDescent="0.25">
      <c r="F47" s="1" t="s">
        <v>109</v>
      </c>
    </row>
    <row r="48" spans="2:6" x14ac:dyDescent="0.25">
      <c r="F48" s="1" t="s">
        <v>110</v>
      </c>
    </row>
    <row r="49" spans="6:6" x14ac:dyDescent="0.25">
      <c r="F49" s="1" t="s">
        <v>111</v>
      </c>
    </row>
    <row r="50" spans="6:6" x14ac:dyDescent="0.25">
      <c r="F50" s="1" t="s">
        <v>112</v>
      </c>
    </row>
    <row r="51" spans="6:6" x14ac:dyDescent="0.25">
      <c r="F51" s="1" t="s">
        <v>113</v>
      </c>
    </row>
    <row r="52" spans="6:6" x14ac:dyDescent="0.25">
      <c r="F52" s="1" t="s">
        <v>114</v>
      </c>
    </row>
    <row r="53" spans="6:6" x14ac:dyDescent="0.25">
      <c r="F53" s="1" t="s">
        <v>115</v>
      </c>
    </row>
    <row r="54" spans="6:6" x14ac:dyDescent="0.25">
      <c r="F54" s="1" t="s">
        <v>116</v>
      </c>
    </row>
    <row r="55" spans="6:6" x14ac:dyDescent="0.25">
      <c r="F55" s="1" t="s">
        <v>117</v>
      </c>
    </row>
    <row r="56" spans="6:6" x14ac:dyDescent="0.25">
      <c r="F56" s="1" t="s">
        <v>118</v>
      </c>
    </row>
    <row r="57" spans="6:6" x14ac:dyDescent="0.25">
      <c r="F57" s="1" t="s">
        <v>119</v>
      </c>
    </row>
    <row r="58" spans="6:6" x14ac:dyDescent="0.25">
      <c r="F58" s="1" t="s">
        <v>120</v>
      </c>
    </row>
    <row r="59" spans="6:6" x14ac:dyDescent="0.25">
      <c r="F59" s="1" t="s">
        <v>121</v>
      </c>
    </row>
    <row r="60" spans="6:6" x14ac:dyDescent="0.25">
      <c r="F60" s="1" t="s">
        <v>122</v>
      </c>
    </row>
    <row r="61" spans="6:6" x14ac:dyDescent="0.25">
      <c r="F61" s="1" t="s">
        <v>123</v>
      </c>
    </row>
    <row r="62" spans="6:6" x14ac:dyDescent="0.25">
      <c r="F62" s="1" t="s">
        <v>124</v>
      </c>
    </row>
    <row r="63" spans="6:6" x14ac:dyDescent="0.25">
      <c r="F63" s="1" t="s">
        <v>125</v>
      </c>
    </row>
    <row r="64" spans="6:6" x14ac:dyDescent="0.25">
      <c r="F64" s="1" t="s">
        <v>126</v>
      </c>
    </row>
    <row r="65" spans="6:6" x14ac:dyDescent="0.25">
      <c r="F65" s="1" t="s">
        <v>127</v>
      </c>
    </row>
    <row r="66" spans="6:6" x14ac:dyDescent="0.25">
      <c r="F66" s="1" t="s">
        <v>128</v>
      </c>
    </row>
    <row r="67" spans="6:6" x14ac:dyDescent="0.25">
      <c r="F67" s="1" t="s">
        <v>129</v>
      </c>
    </row>
    <row r="68" spans="6:6" x14ac:dyDescent="0.25">
      <c r="F68" s="1" t="s">
        <v>130</v>
      </c>
    </row>
    <row r="69" spans="6:6" x14ac:dyDescent="0.25">
      <c r="F69" s="1" t="s">
        <v>131</v>
      </c>
    </row>
    <row r="70" spans="6:6" x14ac:dyDescent="0.25">
      <c r="F70" s="1" t="s">
        <v>132</v>
      </c>
    </row>
    <row r="71" spans="6:6" x14ac:dyDescent="0.25">
      <c r="F71" s="1" t="s">
        <v>133</v>
      </c>
    </row>
    <row r="72" spans="6:6" x14ac:dyDescent="0.25">
      <c r="F72" s="1" t="s">
        <v>134</v>
      </c>
    </row>
    <row r="73" spans="6:6" x14ac:dyDescent="0.25">
      <c r="F73" s="1" t="s">
        <v>135</v>
      </c>
    </row>
    <row r="74" spans="6:6" x14ac:dyDescent="0.25">
      <c r="F74" s="1" t="s">
        <v>136</v>
      </c>
    </row>
    <row r="75" spans="6:6" x14ac:dyDescent="0.25">
      <c r="F75" s="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material x m2  (2)</vt:lpstr>
      <vt:lpstr>material x m2 </vt:lpstr>
      <vt:lpstr>master x kg MP</vt:lpstr>
      <vt:lpstr>unidades</vt:lpstr>
      <vt:lpstr>peso</vt:lpstr>
      <vt:lpstr>Hoja2</vt:lpstr>
      <vt:lpstr>peso!Área_de_impresión</vt:lpstr>
      <vt:lpstr>unidades!Área_de_impresión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2026-09-16T13:59:13Z</dcterms:modified>
</cp:coreProperties>
</file>