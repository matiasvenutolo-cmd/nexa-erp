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bookViews>
    <workbookView xWindow="-120" yWindow="-120" windowWidth="29040" windowHeight="15720"/>
  </bookViews>
  <sheets>
    <sheet name="Hoja1" sheetId="1" r:id="rId1"/>
  </sheets>
  <definedNames>
    <definedName name="_xlnm._FilterDatabase" localSheetId="0" hidden="1">Hoja1!$B$2:$S$44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4" i="1" l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8" i="1"/>
  <c r="G67" i="1"/>
  <c r="G66" i="1"/>
  <c r="G65" i="1"/>
  <c r="G64" i="1"/>
  <c r="G63" i="1"/>
  <c r="G62" i="1"/>
  <c r="P85" i="1" l="1"/>
  <c r="R10" i="1" l="1"/>
  <c r="R39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69" i="1"/>
  <c r="R68" i="1"/>
  <c r="R67" i="1"/>
  <c r="R66" i="1"/>
  <c r="R65" i="1"/>
  <c r="R64" i="1"/>
  <c r="R63" i="1"/>
  <c r="R62" i="1"/>
  <c r="R61" i="1"/>
  <c r="R60" i="1"/>
  <c r="G60" i="1"/>
  <c r="R54" i="1" l="1"/>
  <c r="R56" i="1"/>
  <c r="R57" i="1"/>
  <c r="G21" i="1"/>
  <c r="R6" i="1"/>
  <c r="G59" i="1"/>
  <c r="H43" i="1"/>
  <c r="G47" i="1"/>
  <c r="G48" i="1"/>
  <c r="G49" i="1"/>
  <c r="G50" i="1"/>
  <c r="G51" i="1"/>
  <c r="G52" i="1"/>
  <c r="G53" i="1"/>
  <c r="G54" i="1"/>
  <c r="G55" i="1"/>
  <c r="G56" i="1"/>
  <c r="G57" i="1"/>
  <c r="G58" i="1"/>
  <c r="G46" i="1"/>
  <c r="H45" i="1"/>
  <c r="G36" i="1"/>
  <c r="G37" i="1"/>
  <c r="G38" i="1"/>
  <c r="G39" i="1"/>
  <c r="G40" i="1"/>
  <c r="G41" i="1"/>
  <c r="G42" i="1"/>
  <c r="G23" i="1"/>
  <c r="G24" i="1"/>
  <c r="G25" i="1"/>
  <c r="G26" i="1"/>
  <c r="G27" i="1"/>
  <c r="G28" i="1"/>
  <c r="G29" i="1"/>
  <c r="G30" i="1"/>
  <c r="G31" i="1"/>
  <c r="G32" i="1"/>
  <c r="G33" i="1"/>
  <c r="G22" i="1"/>
  <c r="G19" i="1"/>
  <c r="G20" i="1"/>
  <c r="G18" i="1"/>
  <c r="H17" i="1"/>
  <c r="G16" i="1"/>
  <c r="G9" i="1"/>
  <c r="G10" i="1"/>
  <c r="G11" i="1"/>
  <c r="G12" i="1"/>
  <c r="G13" i="1"/>
  <c r="I7" i="1"/>
  <c r="G8" i="1"/>
  <c r="G6" i="1"/>
  <c r="H34" i="1"/>
  <c r="G35" i="1"/>
  <c r="I5" i="1"/>
  <c r="I85" i="1" s="1"/>
  <c r="I86" i="1" s="1"/>
  <c r="G4" i="1"/>
  <c r="G3" i="1"/>
  <c r="R51" i="1"/>
  <c r="R52" i="1"/>
  <c r="R53" i="1"/>
  <c r="R59" i="1"/>
  <c r="R58" i="1"/>
  <c r="H85" i="1" l="1"/>
  <c r="H86" i="1" s="1"/>
  <c r="G85" i="1"/>
  <c r="G86" i="1" s="1"/>
  <c r="R55" i="1"/>
</calcChain>
</file>

<file path=xl/sharedStrings.xml><?xml version="1.0" encoding="utf-8"?>
<sst xmlns="http://schemas.openxmlformats.org/spreadsheetml/2006/main" count="598" uniqueCount="212">
  <si>
    <t>OLIVETTI LUCIANA</t>
  </si>
  <si>
    <t>Tarjeta de Credito</t>
  </si>
  <si>
    <t>MACKENNA RURAL S.R.L</t>
  </si>
  <si>
    <t>54 9 3583433591</t>
  </si>
  <si>
    <t>S.A VERACRUZ</t>
  </si>
  <si>
    <t>54 9 3816506466</t>
  </si>
  <si>
    <t>AV Ricardo Risatti 406, Vicuña Mackenna, Cordoba</t>
  </si>
  <si>
    <t>Ruta Pvcial 301-km 12,7 n°1529, Tucuman</t>
  </si>
  <si>
    <t>AV Rolon 117, San Isidro, Buenos Aires</t>
  </si>
  <si>
    <t>PROYECTO PADEL</t>
  </si>
  <si>
    <t>11 5307 6652</t>
  </si>
  <si>
    <t>Av. Gral. José de San Martín 1235</t>
  </si>
  <si>
    <t>contado/transferencia</t>
  </si>
  <si>
    <t>EDUARDO BLANCO</t>
  </si>
  <si>
    <t>54 9 376 4807660</t>
  </si>
  <si>
    <t>ALVAR NUÑEZ 2944, Posadas Misiones</t>
  </si>
  <si>
    <t>Cheque pago</t>
  </si>
  <si>
    <t>ROBERTO GRASSO</t>
  </si>
  <si>
    <t>LONGCHAMPS</t>
  </si>
  <si>
    <t>contado y transferencia</t>
  </si>
  <si>
    <t>Despachado</t>
  </si>
  <si>
    <t>DARIO RIVELLI</t>
  </si>
  <si>
    <t>TOLOSA,LA PLATA</t>
  </si>
  <si>
    <t>SEBASTIAN MARINO</t>
  </si>
  <si>
    <t>BERAZATEGUI, CALLE 134 N°3176</t>
  </si>
  <si>
    <t>ANGEL SERRANO</t>
  </si>
  <si>
    <t>9 3564 22 2432</t>
  </si>
  <si>
    <t>SAN FRANCISCO, CORDOBA</t>
  </si>
  <si>
    <t>ALBINA LORENA CASTILLO</t>
  </si>
  <si>
    <t> 9 351 234 3558</t>
  </si>
  <si>
    <t>BOLIVAR, Buenos Aires</t>
  </si>
  <si>
    <t>transferencia</t>
  </si>
  <si>
    <t>50UN</t>
  </si>
  <si>
    <t>LEONARDO EZEQUIEL DATKO</t>
  </si>
  <si>
    <t>9 221 5967744</t>
  </si>
  <si>
    <t>LA PLATA</t>
  </si>
  <si>
    <t>10UN</t>
  </si>
  <si>
    <t>CATALIO ALBERTO</t>
  </si>
  <si>
    <t>158 ESQ 51 HUDSON</t>
  </si>
  <si>
    <t>Pago total</t>
  </si>
  <si>
    <t>RASINO HORACIO TOMAS</t>
  </si>
  <si>
    <t>353 569 8397</t>
  </si>
  <si>
    <t>Transferencia</t>
  </si>
  <si>
    <t>MARCOS</t>
  </si>
  <si>
    <t>OSCAR NAHUEL GONZALEZ</t>
  </si>
  <si>
    <t>GRAL RODRIGUEZ, BUENOS AIRES</t>
  </si>
  <si>
    <t>GANADOR SORTEO</t>
  </si>
  <si>
    <t>MARCELO PIZZOLA</t>
  </si>
  <si>
    <t>221 508 6257</t>
  </si>
  <si>
    <t>calle 22 entre 523 y 524, Tolosa, La Plata</t>
  </si>
  <si>
    <t>CAMILO FABIAN TRENTIN</t>
  </si>
  <si>
    <t>SALTA 1988, SAN JUSTO, LA MATANZA</t>
  </si>
  <si>
    <t>Moron</t>
  </si>
  <si>
    <t>DEAN FUNES 468, CORDOBA(Las Varillas)</t>
  </si>
  <si>
    <t>JOSE TOLOSSA</t>
  </si>
  <si>
    <t>CALLE 114 N°1890, BERAZATEGUI.</t>
  </si>
  <si>
    <t>GRISELDA MARISEL AQUINO</t>
  </si>
  <si>
    <t>ALVEAR 1365, RESISTENCIA, CHACO</t>
  </si>
  <si>
    <t>ALEJANDRO AMICO</t>
  </si>
  <si>
    <t>SANTA FE,Pje angelelli 8240</t>
  </si>
  <si>
    <t>342 535 3974</t>
  </si>
  <si>
    <t>IGNACIO GERINO</t>
  </si>
  <si>
    <t>DEL VISO, BUENOS AIRES</t>
  </si>
  <si>
    <t>GERMAN BAILO</t>
  </si>
  <si>
    <t>ARQUIMEDES 2830, CORDOBA</t>
  </si>
  <si>
    <t>MERCADO PAGO</t>
  </si>
  <si>
    <t>NELSON</t>
  </si>
  <si>
    <t>LISANDRO DE LA TORRE 2351,QUILMES</t>
  </si>
  <si>
    <t>EFECTIVO</t>
  </si>
  <si>
    <t>TRANSFERENCIA</t>
  </si>
  <si>
    <t>PEDIDO</t>
  </si>
  <si>
    <t>11 2321 8815</t>
  </si>
  <si>
    <t>PABLO</t>
  </si>
  <si>
    <t>11 6727 7086</t>
  </si>
  <si>
    <t>NUMAPOINT SRL</t>
  </si>
  <si>
    <t>11 3578 6488</t>
  </si>
  <si>
    <t>GENERAL PAZ 62 PISO 2</t>
  </si>
  <si>
    <t>LISTO PARA RETIRAR</t>
  </si>
  <si>
    <t>TODO MOVIL</t>
  </si>
  <si>
    <t>44 Y 187, LISANDRO OLMOS</t>
  </si>
  <si>
    <t>MATIAS AGUSTIN CANAVIDE</t>
  </si>
  <si>
    <t>CLUB ESGRIMA GIMNASIO DE LA PLATA</t>
  </si>
  <si>
    <t>CALLE 4 N°983, LA PLATA</t>
  </si>
  <si>
    <t>NAHUEL</t>
  </si>
  <si>
    <t>AVENIDA 21 816, BERAZATEGUI.</t>
  </si>
  <si>
    <t>RODRIGO</t>
  </si>
  <si>
    <t>DESPACHADO</t>
  </si>
  <si>
    <t>EVARISTO ANDRES FRACCHIA</t>
  </si>
  <si>
    <t>SALTA 1140, AVELLANEDA</t>
  </si>
  <si>
    <t>MERCADO LIBRE</t>
  </si>
  <si>
    <t>ARIEL PORCEL</t>
  </si>
  <si>
    <t>133 510, LA PLATA</t>
  </si>
  <si>
    <t>CRISTIAN MATIAS ACUÑA</t>
  </si>
  <si>
    <t>BALBIN 78, LANUS</t>
  </si>
  <si>
    <t>JAVIER GOMEZ</t>
  </si>
  <si>
    <t>ferre 2499, villa soldati</t>
  </si>
  <si>
    <t>MATIAS JAVIER LA ROSA</t>
  </si>
  <si>
    <t>SANTIAGO MARTIN SPINELLI</t>
  </si>
  <si>
    <t>2325 65 9358</t>
  </si>
  <si>
    <t>FERNANDO VIETRI</t>
  </si>
  <si>
    <t>-</t>
  </si>
  <si>
    <t>Si</t>
  </si>
  <si>
    <t>MOVILIS RENT A CARS</t>
  </si>
  <si>
    <t>221 495 9928</t>
  </si>
  <si>
    <t>44 1461, La Plata</t>
  </si>
  <si>
    <t>LEANDRO ESPOSITO</t>
  </si>
  <si>
    <t>BERAZATEGUI.</t>
  </si>
  <si>
    <t>IVAN SOSA</t>
  </si>
  <si>
    <t>ORDEN</t>
  </si>
  <si>
    <t>FECHA</t>
  </si>
  <si>
    <t>CLIENTE</t>
  </si>
  <si>
    <t>CONTACTO</t>
  </si>
  <si>
    <t>DOMICILIO</t>
  </si>
  <si>
    <t>MONEDA</t>
  </si>
  <si>
    <t>TRAMA</t>
  </si>
  <si>
    <t>REJILLA</t>
  </si>
  <si>
    <t>ACCESORIOS</t>
  </si>
  <si>
    <t>COLOR</t>
  </si>
  <si>
    <t>BORDES</t>
  </si>
  <si>
    <t>ESQUINEROS</t>
  </si>
  <si>
    <t>METODO DE PAGO</t>
  </si>
  <si>
    <t>TOTAL A PAGAR</t>
  </si>
  <si>
    <t>SEÑA</t>
  </si>
  <si>
    <t>RESTA</t>
  </si>
  <si>
    <t>ESTADO</t>
  </si>
  <si>
    <t>NEGRO</t>
  </si>
  <si>
    <t>JOSE LUIS FERNANDEZ</t>
  </si>
  <si>
    <t>NEGRO Y GRIS OSCURO</t>
  </si>
  <si>
    <t>GRIS OSCURO</t>
  </si>
  <si>
    <t>ENTREGADO</t>
  </si>
  <si>
    <t>VICTORIA</t>
  </si>
  <si>
    <t>TIGRE</t>
  </si>
  <si>
    <t>NARANJA Y NEGRO</t>
  </si>
  <si>
    <t>2983 51 1135</t>
  </si>
  <si>
    <t>TRES ARROYOS</t>
  </si>
  <si>
    <t>GRIS Y ROJO</t>
  </si>
  <si>
    <t>BALVIN 78, LANUS</t>
  </si>
  <si>
    <t>NEGRO, FUCSIA Y GRIS OSCURO</t>
  </si>
  <si>
    <t>ENSENADA</t>
  </si>
  <si>
    <t>VILLA SOLDATI</t>
  </si>
  <si>
    <t>GRIS OSCURO Y AMARILLO</t>
  </si>
  <si>
    <t>NEGRO, BLANCO Y ROJO</t>
  </si>
  <si>
    <t>GRIS OSCURO Y ROJO</t>
  </si>
  <si>
    <t>GRIS OSCURO Y VERDE CLARO</t>
  </si>
  <si>
    <t>NEGRO Y AZUL CLARO</t>
  </si>
  <si>
    <t>VERDE</t>
  </si>
  <si>
    <t>AZUL</t>
  </si>
  <si>
    <t>NEGRO Y VERDE</t>
  </si>
  <si>
    <t>NEGRO GRIS OSCURO Y VERDE</t>
  </si>
  <si>
    <t>GRIS CLARO Y OSCURO</t>
  </si>
  <si>
    <t>GRIS CLARO Y AZUL</t>
  </si>
  <si>
    <t>NEGRO Y ROJO</t>
  </si>
  <si>
    <t>OBISPO</t>
  </si>
  <si>
    <t>AMARILLO</t>
  </si>
  <si>
    <t>AMARILLOS</t>
  </si>
  <si>
    <t>GRIS CLARO</t>
  </si>
  <si>
    <t>AZUL OSCURO, CELESTE Y BLANCO</t>
  </si>
  <si>
    <t xml:space="preserve">NEGRO Y AZUL  </t>
  </si>
  <si>
    <t>NEGRO Y AZUL</t>
  </si>
  <si>
    <t>NEGRO, ROJO Y GRIS CLARO</t>
  </si>
  <si>
    <t>GRIS OSCURO Y VIOLETA</t>
  </si>
  <si>
    <t xml:space="preserve">GRIS CLARO </t>
  </si>
  <si>
    <t>GRIS OSCURO ROJO</t>
  </si>
  <si>
    <t>CANTIDAD EN M²/UNIDADES</t>
  </si>
  <si>
    <t>TIPO DE PISO CON CANT. DE BALDOSAS</t>
  </si>
  <si>
    <t>OBSERVACIONES</t>
  </si>
  <si>
    <t>PAGO TOTAL</t>
  </si>
  <si>
    <t>GRIS OSCURO y VIOLETA</t>
  </si>
  <si>
    <t>ABONADO.</t>
  </si>
  <si>
    <t>PASA 26/08</t>
  </si>
  <si>
    <t>PAGA EL 28/08</t>
  </si>
  <si>
    <t>PASA ENTRE 25 Y 26/08</t>
  </si>
  <si>
    <t>ALEJANDRO</t>
  </si>
  <si>
    <t>TEMPERLEY</t>
  </si>
  <si>
    <t>AZUL OSCURO, GRIS CLARO Y GRIS OSCURO</t>
  </si>
  <si>
    <t>Abona RESTO EN FABRICA</t>
  </si>
  <si>
    <t>EDUARDO RICA</t>
  </si>
  <si>
    <t>24/08/026</t>
  </si>
  <si>
    <t>CALLE 13 34 Y 35 LA PLATA</t>
  </si>
  <si>
    <t>ROJO</t>
  </si>
  <si>
    <t>LLAMAR MIERCOLES 26/8</t>
  </si>
  <si>
    <t>Listo para retirar el 31/08</t>
  </si>
  <si>
    <t>Retira en SEPTIEMBRE</t>
  </si>
  <si>
    <t>AUN NO RETIRO</t>
  </si>
  <si>
    <t>Metros totales</t>
  </si>
  <si>
    <t xml:space="preserve">UNIDADES TOTALES </t>
  </si>
  <si>
    <t>ABONO EL TOTAL</t>
  </si>
  <si>
    <t>MITRE PADEL</t>
  </si>
  <si>
    <t>NEGRO, ROJO Y AZUL</t>
  </si>
  <si>
    <t>$100.000 CORRESPONDE A ENVIO</t>
  </si>
  <si>
    <t xml:space="preserve">DIEGO RIOS </t>
  </si>
  <si>
    <t>294 471 5768</t>
  </si>
  <si>
    <t>SERIGOS 1840 - BARILOCHE</t>
  </si>
  <si>
    <t>GRIS OSCURO Y AZUL CLARO</t>
  </si>
  <si>
    <t>TARJETA DE CREDITO</t>
  </si>
  <si>
    <t>CONSUMIDOR FINAL</t>
  </si>
  <si>
    <t>LEANDRO EZEQUIAS LUGO</t>
  </si>
  <si>
    <t>VIRREY DEL PINO - LA MATANZA</t>
  </si>
  <si>
    <t>NICOLAS VILA</t>
  </si>
  <si>
    <t>LOMAS DE ZAMORA</t>
  </si>
  <si>
    <t>RETIRA EN FABRICA</t>
  </si>
  <si>
    <t>ROBERTO JORGE FUENTE</t>
  </si>
  <si>
    <t>27/08/29026</t>
  </si>
  <si>
    <t>221 564 1732</t>
  </si>
  <si>
    <t>VERDE CLARO Y GRIS OSCURO</t>
  </si>
  <si>
    <t>LUCAS GUERRA</t>
  </si>
  <si>
    <t>MATIAS LA ROSA</t>
  </si>
  <si>
    <t>LA MATANZA</t>
  </si>
  <si>
    <t>NUT</t>
  </si>
  <si>
    <t>AV ANTARTIDA ARGENTINA 724, BERAZATEGUI</t>
  </si>
  <si>
    <t>4UN</t>
  </si>
  <si>
    <t>GRIS CLARO/OSCURO,VERDE Y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</si>
</sst>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$&quot;\ #,##0;[Red]\-&quot;$&quot;\ #,##0"/>
    <numFmt numFmtId="8" formatCode="&quot;$&quot;\ #,##0.00;[Red]\-&quot;$&quot;\ #,##0.00"/>
    <numFmt numFmtId="164" formatCode="[$$-2C0A]\ #,##0"/>
    <numFmt numFmtId="165" formatCode="[$$-2C0A]\ #,##0;[Red][$$-2C0A]\ #,##0"/>
    <numFmt numFmtId="166" formatCode="0.0"/>
  </numFmts>
  <fonts count="8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01828"/>
      <name val="Calibri"/>
      <family val="2"/>
    </font>
    <font>
      <sz val="11"/>
      <color theme="0"/>
      <name val="Calibri"/>
      <family val="2"/>
    </font>
    <font>
      <sz val="11"/>
      <color theme="1" tint="4.9989318521683403E-2"/>
      <name val="Calibri"/>
      <family val="2"/>
    </font>
    <font>
      <sz val="11"/>
      <color rgb="FFFF0000"/>
      <name val="Calibri"/>
      <family val="2"/>
    </font>
    <font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A7"/>
        <bgColor indexed="64"/>
      </patternFill>
    </fill>
    <fill>
      <patternFill patternType="solid">
        <fgColor rgb="FFA7BDCD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7" fillId="9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BDCD"/>
      <color rgb="FFFFE2A7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21"/>
  <sheetViews>
    <sheetView tabSelected="1" workbookViewId="0">
      <pane xSplit="1" topLeftCell="B1" activePane="topRight" state="frozen"/>
      <selection pane="topRight" activeCell="S78" sqref="S78"/>
    </sheetView>
  </sheetViews>
  <sheetFormatPr baseColWidth="10" defaultColWidth="11.375" defaultRowHeight="15"/>
  <cols>
    <col min="1" max="1" width="22.375" style="15" customWidth="1"/>
    <col min="2" max="3" width="11.375" style="1"/>
    <col min="4" max="4" width="15.75" style="1" bestFit="1" customWidth="1"/>
    <col min="5" max="5" width="30.125" style="15" customWidth="1"/>
    <col min="6" max="6" width="19" style="1" customWidth="1"/>
    <col min="7" max="9" width="11" style="1" customWidth="1"/>
    <col min="10" max="10" width="20.875" style="15" customWidth="1"/>
    <col min="11" max="11" width="20.375" style="1" customWidth="1"/>
    <col min="12" max="12" width="11.875" style="1" customWidth="1"/>
    <col min="13" max="14" width="17.625" style="1" customWidth="1"/>
    <col min="15" max="15" width="22" style="1" bestFit="1" customWidth="1"/>
    <col min="16" max="16" width="15" style="9" bestFit="1" customWidth="1"/>
    <col min="17" max="18" width="18.125" style="1" customWidth="1"/>
    <col min="19" max="19" width="24.625" style="1" bestFit="1" customWidth="1"/>
    <col min="20" max="20" width="18.625" style="15" bestFit="1" customWidth="1"/>
    <col min="21" max="16384" width="11.375" style="1"/>
  </cols>
  <sheetData>
    <row r="1" spans="1:20" ht="17.45" customHeight="1">
      <c r="A1" s="40" t="s">
        <v>110</v>
      </c>
      <c r="B1" s="41" t="s">
        <v>108</v>
      </c>
      <c r="C1" s="41" t="s">
        <v>109</v>
      </c>
      <c r="D1" s="41" t="s">
        <v>111</v>
      </c>
      <c r="E1" s="40" t="s">
        <v>112</v>
      </c>
      <c r="F1" s="40" t="s">
        <v>163</v>
      </c>
      <c r="G1" s="40" t="s">
        <v>164</v>
      </c>
      <c r="H1" s="40"/>
      <c r="I1" s="40"/>
      <c r="J1" s="40" t="s">
        <v>117</v>
      </c>
      <c r="K1" s="41" t="s">
        <v>116</v>
      </c>
      <c r="L1" s="41"/>
      <c r="M1" s="41"/>
      <c r="N1" s="41"/>
      <c r="O1" s="41" t="s">
        <v>120</v>
      </c>
      <c r="P1" s="42" t="s">
        <v>121</v>
      </c>
      <c r="Q1" s="41" t="s">
        <v>122</v>
      </c>
      <c r="R1" s="41" t="s">
        <v>123</v>
      </c>
      <c r="S1" s="41" t="s">
        <v>124</v>
      </c>
      <c r="T1" s="40" t="s">
        <v>165</v>
      </c>
    </row>
    <row r="2" spans="1:20" ht="17.45" customHeight="1">
      <c r="A2" s="40"/>
      <c r="B2" s="41"/>
      <c r="C2" s="41"/>
      <c r="D2" s="41"/>
      <c r="E2" s="40"/>
      <c r="F2" s="40"/>
      <c r="G2" s="12" t="s">
        <v>115</v>
      </c>
      <c r="H2" s="12" t="s">
        <v>114</v>
      </c>
      <c r="I2" s="12" t="s">
        <v>113</v>
      </c>
      <c r="J2" s="40"/>
      <c r="K2" s="12" t="s">
        <v>118</v>
      </c>
      <c r="L2" s="12" t="s">
        <v>117</v>
      </c>
      <c r="M2" s="12" t="s">
        <v>119</v>
      </c>
      <c r="N2" s="12" t="s">
        <v>117</v>
      </c>
      <c r="O2" s="41"/>
      <c r="P2" s="42"/>
      <c r="Q2" s="41"/>
      <c r="R2" s="41"/>
      <c r="S2" s="41"/>
      <c r="T2" s="40"/>
    </row>
    <row r="3" spans="1:20" ht="30">
      <c r="A3" s="15" t="s">
        <v>0</v>
      </c>
      <c r="B3" s="1">
        <v>81362</v>
      </c>
      <c r="C3" s="2">
        <v>46197</v>
      </c>
      <c r="D3" s="1">
        <v>1132349162</v>
      </c>
      <c r="E3" s="15" t="s">
        <v>8</v>
      </c>
      <c r="F3" s="1">
        <v>20</v>
      </c>
      <c r="G3" s="11">
        <f>F3/0.16</f>
        <v>125</v>
      </c>
      <c r="K3" s="1" t="s">
        <v>100</v>
      </c>
      <c r="L3" s="1" t="s">
        <v>100</v>
      </c>
      <c r="M3" s="1" t="s">
        <v>100</v>
      </c>
      <c r="N3" s="1" t="s">
        <v>100</v>
      </c>
      <c r="O3" s="1" t="s">
        <v>1</v>
      </c>
      <c r="P3" s="9">
        <v>605000</v>
      </c>
      <c r="S3" s="16" t="s">
        <v>20</v>
      </c>
    </row>
    <row r="4" spans="1:20" ht="30">
      <c r="A4" s="15" t="s">
        <v>2</v>
      </c>
      <c r="B4" s="1">
        <v>81363</v>
      </c>
      <c r="C4" s="2">
        <v>46197</v>
      </c>
      <c r="D4" s="1" t="s">
        <v>3</v>
      </c>
      <c r="E4" s="15" t="s">
        <v>6</v>
      </c>
      <c r="F4" s="22">
        <v>52</v>
      </c>
      <c r="G4" s="11">
        <f>F4/0.16</f>
        <v>325</v>
      </c>
      <c r="K4" s="1">
        <v>25</v>
      </c>
      <c r="L4" s="1" t="s">
        <v>100</v>
      </c>
      <c r="M4" s="1" t="s">
        <v>100</v>
      </c>
      <c r="N4" s="1" t="s">
        <v>100</v>
      </c>
      <c r="O4" s="1" t="s">
        <v>1</v>
      </c>
      <c r="P4" s="9">
        <v>2672890</v>
      </c>
      <c r="S4" s="16" t="s">
        <v>20</v>
      </c>
    </row>
    <row r="5" spans="1:20" ht="30">
      <c r="A5" s="15" t="s">
        <v>4</v>
      </c>
      <c r="B5" s="1">
        <v>81364</v>
      </c>
      <c r="C5" s="2">
        <v>46206</v>
      </c>
      <c r="D5" s="1" t="s">
        <v>5</v>
      </c>
      <c r="E5" s="15" t="s">
        <v>7</v>
      </c>
      <c r="F5" s="21">
        <v>64</v>
      </c>
      <c r="I5" s="11">
        <f>F5/0.16</f>
        <v>400</v>
      </c>
      <c r="K5" s="1">
        <v>10</v>
      </c>
      <c r="L5" s="1" t="s">
        <v>100</v>
      </c>
      <c r="M5" s="1" t="s">
        <v>100</v>
      </c>
      <c r="N5" s="1" t="s">
        <v>100</v>
      </c>
      <c r="O5" s="1" t="s">
        <v>16</v>
      </c>
      <c r="P5" s="9">
        <v>1948100</v>
      </c>
      <c r="S5" s="16" t="s">
        <v>20</v>
      </c>
    </row>
    <row r="6" spans="1:20">
      <c r="A6" s="15" t="s">
        <v>9</v>
      </c>
      <c r="C6" s="2">
        <v>46199</v>
      </c>
      <c r="D6" s="1" t="s">
        <v>10</v>
      </c>
      <c r="E6" s="15" t="s">
        <v>11</v>
      </c>
      <c r="F6" s="1">
        <v>360</v>
      </c>
      <c r="G6" s="11">
        <f>F6/0.16</f>
        <v>2250</v>
      </c>
      <c r="K6" s="1">
        <v>25</v>
      </c>
      <c r="L6" s="1" t="s">
        <v>125</v>
      </c>
      <c r="M6" s="1">
        <v>15</v>
      </c>
      <c r="N6" s="1" t="s">
        <v>100</v>
      </c>
      <c r="O6" s="1" t="s">
        <v>68</v>
      </c>
      <c r="P6" s="9">
        <v>7560000</v>
      </c>
      <c r="Q6" s="3">
        <v>3000000</v>
      </c>
      <c r="R6" s="3">
        <f>P6-Q6</f>
        <v>4560000</v>
      </c>
      <c r="S6" s="16" t="s">
        <v>20</v>
      </c>
    </row>
    <row r="7" spans="1:20" ht="30">
      <c r="A7" s="15" t="s">
        <v>2</v>
      </c>
      <c r="B7" s="1">
        <v>81370</v>
      </c>
      <c r="C7" s="2">
        <v>46202</v>
      </c>
      <c r="D7" s="1" t="s">
        <v>3</v>
      </c>
      <c r="E7" s="15" t="s">
        <v>6</v>
      </c>
      <c r="F7" s="1">
        <v>3</v>
      </c>
      <c r="I7" s="11">
        <f>F7/0.16</f>
        <v>18.75</v>
      </c>
      <c r="K7" s="1" t="s">
        <v>101</v>
      </c>
      <c r="L7" s="1" t="s">
        <v>100</v>
      </c>
      <c r="M7" s="1" t="s">
        <v>100</v>
      </c>
      <c r="N7" s="1" t="s">
        <v>100</v>
      </c>
      <c r="O7" s="1" t="s">
        <v>12</v>
      </c>
      <c r="P7" s="9">
        <v>139755</v>
      </c>
      <c r="S7" s="16" t="s">
        <v>20</v>
      </c>
    </row>
    <row r="8" spans="1:20" ht="30">
      <c r="A8" s="15" t="s">
        <v>13</v>
      </c>
      <c r="B8" s="1">
        <v>81377</v>
      </c>
      <c r="C8" s="2">
        <v>46204</v>
      </c>
      <c r="D8" s="1" t="s">
        <v>14</v>
      </c>
      <c r="E8" s="15" t="s">
        <v>15</v>
      </c>
      <c r="F8" s="1">
        <v>12</v>
      </c>
      <c r="G8" s="11">
        <f>F8/0.16</f>
        <v>75</v>
      </c>
      <c r="J8" s="15" t="s">
        <v>140</v>
      </c>
      <c r="K8" s="1" t="s">
        <v>101</v>
      </c>
      <c r="L8" s="1" t="s">
        <v>100</v>
      </c>
      <c r="M8" s="1" t="s">
        <v>100</v>
      </c>
      <c r="N8" s="1" t="s">
        <v>100</v>
      </c>
      <c r="O8" s="1" t="s">
        <v>12</v>
      </c>
      <c r="P8" s="9">
        <v>337590</v>
      </c>
      <c r="S8" s="16" t="s">
        <v>20</v>
      </c>
    </row>
    <row r="9" spans="1:20">
      <c r="A9" s="15" t="s">
        <v>17</v>
      </c>
      <c r="C9" s="2">
        <v>46206</v>
      </c>
      <c r="D9" s="1">
        <v>1155668529</v>
      </c>
      <c r="E9" s="15" t="s">
        <v>18</v>
      </c>
      <c r="F9" s="1">
        <v>50</v>
      </c>
      <c r="G9" s="11">
        <f t="shared" ref="G9:G13" si="0">F9/0.16</f>
        <v>312.5</v>
      </c>
      <c r="J9" s="15" t="s">
        <v>141</v>
      </c>
      <c r="K9" s="1" t="s">
        <v>100</v>
      </c>
      <c r="L9" s="1" t="s">
        <v>100</v>
      </c>
      <c r="M9" s="1" t="s">
        <v>100</v>
      </c>
      <c r="N9" s="1" t="s">
        <v>100</v>
      </c>
      <c r="O9" s="1" t="s">
        <v>19</v>
      </c>
      <c r="P9" s="9">
        <v>1038000</v>
      </c>
      <c r="S9" s="16" t="s">
        <v>20</v>
      </c>
    </row>
    <row r="10" spans="1:20">
      <c r="A10" s="15" t="s">
        <v>21</v>
      </c>
      <c r="C10" s="2">
        <v>46213</v>
      </c>
      <c r="E10" s="15" t="s">
        <v>22</v>
      </c>
      <c r="F10" s="1">
        <v>20</v>
      </c>
      <c r="G10" s="11">
        <f t="shared" si="0"/>
        <v>125</v>
      </c>
      <c r="J10" s="15" t="s">
        <v>142</v>
      </c>
      <c r="K10" s="1">
        <v>12</v>
      </c>
      <c r="L10" s="1" t="s">
        <v>128</v>
      </c>
      <c r="M10" s="1" t="s">
        <v>100</v>
      </c>
      <c r="N10" s="1" t="s">
        <v>100</v>
      </c>
      <c r="O10" s="1" t="s">
        <v>68</v>
      </c>
      <c r="P10" s="9">
        <v>412000</v>
      </c>
      <c r="Q10" s="4">
        <v>50000</v>
      </c>
      <c r="R10" s="4">
        <f>+P10-Q10</f>
        <v>362000</v>
      </c>
      <c r="S10" s="16" t="s">
        <v>20</v>
      </c>
    </row>
    <row r="11" spans="1:20" ht="30">
      <c r="A11" s="15" t="s">
        <v>23</v>
      </c>
      <c r="C11" s="2">
        <v>46217</v>
      </c>
      <c r="D11" s="1">
        <v>1163075185</v>
      </c>
      <c r="E11" s="15" t="s">
        <v>24</v>
      </c>
      <c r="F11" s="1">
        <v>23</v>
      </c>
      <c r="G11" s="11">
        <f t="shared" si="0"/>
        <v>143.75</v>
      </c>
      <c r="J11" s="15" t="s">
        <v>143</v>
      </c>
      <c r="K11" s="1">
        <v>2</v>
      </c>
      <c r="L11" s="1" t="s">
        <v>100</v>
      </c>
      <c r="M11" s="1" t="s">
        <v>100</v>
      </c>
      <c r="N11" s="1" t="s">
        <v>100</v>
      </c>
      <c r="O11" s="1" t="s">
        <v>68</v>
      </c>
      <c r="P11" s="9">
        <v>462000</v>
      </c>
      <c r="Q11" s="4">
        <v>220000</v>
      </c>
      <c r="R11" s="4"/>
      <c r="S11" s="16" t="s">
        <v>20</v>
      </c>
    </row>
    <row r="12" spans="1:20">
      <c r="A12" s="15" t="s">
        <v>25</v>
      </c>
      <c r="B12" s="1">
        <v>81391</v>
      </c>
      <c r="C12" s="2">
        <v>46217</v>
      </c>
      <c r="D12" s="1" t="s">
        <v>26</v>
      </c>
      <c r="E12" s="15" t="s">
        <v>27</v>
      </c>
      <c r="F12" s="1">
        <v>8</v>
      </c>
      <c r="G12" s="11">
        <f t="shared" si="0"/>
        <v>50</v>
      </c>
      <c r="J12" s="15" t="s">
        <v>144</v>
      </c>
      <c r="K12" s="1">
        <v>5</v>
      </c>
      <c r="L12" s="1" t="s">
        <v>100</v>
      </c>
      <c r="M12" s="1" t="s">
        <v>100</v>
      </c>
      <c r="N12" s="1" t="s">
        <v>100</v>
      </c>
      <c r="O12" s="1" t="s">
        <v>1</v>
      </c>
      <c r="P12" s="9">
        <v>248050</v>
      </c>
      <c r="S12" s="16" t="s">
        <v>20</v>
      </c>
    </row>
    <row r="13" spans="1:20">
      <c r="A13" s="15" t="s">
        <v>28</v>
      </c>
      <c r="B13" s="1">
        <v>81393</v>
      </c>
      <c r="C13" s="2">
        <v>46218</v>
      </c>
      <c r="D13" s="1" t="s">
        <v>29</v>
      </c>
      <c r="E13" s="15" t="s">
        <v>30</v>
      </c>
      <c r="F13" s="1">
        <v>7</v>
      </c>
      <c r="G13" s="11">
        <f t="shared" si="0"/>
        <v>43.75</v>
      </c>
      <c r="J13" s="15" t="s">
        <v>145</v>
      </c>
      <c r="K13" s="1" t="s">
        <v>100</v>
      </c>
      <c r="L13" s="1" t="s">
        <v>100</v>
      </c>
      <c r="M13" s="1" t="s">
        <v>100</v>
      </c>
      <c r="N13" s="1" t="s">
        <v>100</v>
      </c>
      <c r="O13" s="1" t="s">
        <v>31</v>
      </c>
      <c r="P13" s="9">
        <v>186340</v>
      </c>
      <c r="S13" s="16" t="s">
        <v>20</v>
      </c>
    </row>
    <row r="14" spans="1:20">
      <c r="A14" s="15" t="s">
        <v>23</v>
      </c>
      <c r="C14" s="2">
        <v>46219</v>
      </c>
      <c r="D14" s="1">
        <v>1163075185</v>
      </c>
      <c r="E14" s="15" t="s">
        <v>24</v>
      </c>
      <c r="F14" s="1" t="s">
        <v>32</v>
      </c>
      <c r="G14" s="11"/>
      <c r="K14" s="1">
        <v>50</v>
      </c>
      <c r="L14" s="1" t="s">
        <v>128</v>
      </c>
      <c r="M14" s="1" t="s">
        <v>100</v>
      </c>
      <c r="N14" s="1" t="s">
        <v>100</v>
      </c>
      <c r="O14" s="1" t="s">
        <v>68</v>
      </c>
      <c r="P14" s="9">
        <v>50000</v>
      </c>
      <c r="S14" s="16" t="s">
        <v>20</v>
      </c>
    </row>
    <row r="15" spans="1:20">
      <c r="A15" s="15" t="s">
        <v>23</v>
      </c>
      <c r="C15" s="2">
        <v>46219</v>
      </c>
      <c r="D15" s="1">
        <v>1163075185</v>
      </c>
      <c r="E15" s="15" t="s">
        <v>24</v>
      </c>
      <c r="F15" s="1" t="s">
        <v>36</v>
      </c>
      <c r="G15" s="11"/>
      <c r="K15" s="1" t="s">
        <v>100</v>
      </c>
      <c r="L15" s="1" t="s">
        <v>100</v>
      </c>
      <c r="M15" s="1">
        <v>10</v>
      </c>
      <c r="N15" s="1" t="s">
        <v>128</v>
      </c>
      <c r="O15" s="1" t="s">
        <v>68</v>
      </c>
      <c r="P15" s="9">
        <v>5000</v>
      </c>
      <c r="S15" s="16" t="s">
        <v>20</v>
      </c>
    </row>
    <row r="16" spans="1:20" ht="30">
      <c r="A16" s="15" t="s">
        <v>33</v>
      </c>
      <c r="C16" s="2">
        <v>46220</v>
      </c>
      <c r="D16" s="1" t="s">
        <v>34</v>
      </c>
      <c r="E16" s="15" t="s">
        <v>35</v>
      </c>
      <c r="F16" s="1">
        <v>35</v>
      </c>
      <c r="G16" s="11">
        <f>F16/0.16</f>
        <v>218.75</v>
      </c>
      <c r="J16" s="15" t="s">
        <v>125</v>
      </c>
      <c r="K16" s="1" t="s">
        <v>100</v>
      </c>
      <c r="L16" s="1" t="s">
        <v>100</v>
      </c>
      <c r="M16" s="1" t="s">
        <v>100</v>
      </c>
      <c r="N16" s="1" t="s">
        <v>100</v>
      </c>
      <c r="O16" s="1" t="s">
        <v>68</v>
      </c>
      <c r="P16" s="9">
        <v>700000</v>
      </c>
      <c r="Q16" s="4">
        <v>100000</v>
      </c>
      <c r="R16" s="4"/>
      <c r="S16" s="16" t="s">
        <v>20</v>
      </c>
    </row>
    <row r="17" spans="1:20">
      <c r="A17" s="15" t="s">
        <v>37</v>
      </c>
      <c r="C17" s="2">
        <v>46219</v>
      </c>
      <c r="D17" s="1">
        <v>1158048515</v>
      </c>
      <c r="E17" s="15" t="s">
        <v>38</v>
      </c>
      <c r="F17" s="1">
        <v>10</v>
      </c>
      <c r="H17" s="7">
        <f>F17/0.16</f>
        <v>62.5</v>
      </c>
      <c r="J17" s="15" t="s">
        <v>146</v>
      </c>
      <c r="K17" s="1" t="s">
        <v>100</v>
      </c>
      <c r="L17" s="1" t="s">
        <v>100</v>
      </c>
      <c r="M17" s="1" t="s">
        <v>100</v>
      </c>
      <c r="N17" s="1" t="s">
        <v>100</v>
      </c>
      <c r="O17" s="1" t="s">
        <v>68</v>
      </c>
      <c r="P17" s="9">
        <v>388000</v>
      </c>
      <c r="S17" s="16" t="s">
        <v>20</v>
      </c>
      <c r="T17" s="15" t="s">
        <v>166</v>
      </c>
    </row>
    <row r="18" spans="1:20">
      <c r="A18" s="15" t="s">
        <v>17</v>
      </c>
      <c r="C18" s="2">
        <v>46220</v>
      </c>
      <c r="D18" s="1">
        <v>1155668529</v>
      </c>
      <c r="E18" s="15" t="s">
        <v>18</v>
      </c>
      <c r="F18" s="1">
        <v>15</v>
      </c>
      <c r="G18" s="7">
        <f>F18/0.16</f>
        <v>93.75</v>
      </c>
      <c r="J18" s="15" t="s">
        <v>125</v>
      </c>
      <c r="K18" s="1" t="s">
        <v>100</v>
      </c>
      <c r="L18" s="1" t="s">
        <v>100</v>
      </c>
      <c r="M18" s="1" t="s">
        <v>100</v>
      </c>
      <c r="N18" s="1" t="s">
        <v>100</v>
      </c>
      <c r="O18" s="1" t="s">
        <v>68</v>
      </c>
      <c r="P18" s="9">
        <v>300000</v>
      </c>
      <c r="Q18" s="1" t="s">
        <v>39</v>
      </c>
      <c r="S18" s="16" t="s">
        <v>20</v>
      </c>
      <c r="T18" s="15" t="s">
        <v>166</v>
      </c>
    </row>
    <row r="19" spans="1:20" ht="30">
      <c r="A19" s="15" t="s">
        <v>40</v>
      </c>
      <c r="B19" s="1">
        <v>81404</v>
      </c>
      <c r="C19" s="2">
        <v>46223</v>
      </c>
      <c r="D19" s="1" t="s">
        <v>41</v>
      </c>
      <c r="E19" s="15" t="s">
        <v>53</v>
      </c>
      <c r="F19" s="1">
        <v>50</v>
      </c>
      <c r="G19" s="7">
        <f t="shared" ref="G19:G20" si="1">F19/0.16</f>
        <v>312.5</v>
      </c>
      <c r="J19" s="15" t="s">
        <v>147</v>
      </c>
      <c r="K19" s="1" t="s">
        <v>100</v>
      </c>
      <c r="L19" s="1" t="s">
        <v>100</v>
      </c>
      <c r="M19" s="1" t="s">
        <v>100</v>
      </c>
      <c r="N19" s="1" t="s">
        <v>100</v>
      </c>
      <c r="O19" s="1" t="s">
        <v>42</v>
      </c>
      <c r="P19" s="9">
        <v>1331000</v>
      </c>
      <c r="S19" s="16" t="s">
        <v>20</v>
      </c>
    </row>
    <row r="20" spans="1:20">
      <c r="A20" s="15" t="s">
        <v>43</v>
      </c>
      <c r="C20" s="2">
        <v>46224</v>
      </c>
      <c r="D20" s="1">
        <v>1138568681</v>
      </c>
      <c r="E20" s="15" t="s">
        <v>52</v>
      </c>
      <c r="F20" s="1">
        <v>65</v>
      </c>
      <c r="G20" s="7">
        <f t="shared" si="1"/>
        <v>406.25</v>
      </c>
      <c r="J20" s="15" t="s">
        <v>125</v>
      </c>
      <c r="K20" s="1" t="s">
        <v>100</v>
      </c>
      <c r="L20" s="1" t="s">
        <v>100</v>
      </c>
      <c r="M20" s="1" t="s">
        <v>100</v>
      </c>
      <c r="N20" s="1" t="s">
        <v>100</v>
      </c>
      <c r="O20" s="1" t="s">
        <v>68</v>
      </c>
      <c r="P20" s="9">
        <v>1300000</v>
      </c>
      <c r="Q20" s="4">
        <v>100000</v>
      </c>
      <c r="R20" s="4"/>
      <c r="S20" s="16" t="s">
        <v>20</v>
      </c>
    </row>
    <row r="21" spans="1:20" ht="30">
      <c r="A21" s="14" t="s">
        <v>44</v>
      </c>
      <c r="B21" s="5"/>
      <c r="C21" s="6">
        <v>46219</v>
      </c>
      <c r="D21" s="5">
        <v>1126345489</v>
      </c>
      <c r="E21" s="14" t="s">
        <v>45</v>
      </c>
      <c r="F21" s="5">
        <v>20</v>
      </c>
      <c r="G21" s="5">
        <f>F21/0.16</f>
        <v>125</v>
      </c>
      <c r="H21" s="5"/>
      <c r="I21" s="5"/>
      <c r="J21" s="14" t="s">
        <v>148</v>
      </c>
      <c r="K21" s="5" t="s">
        <v>100</v>
      </c>
      <c r="L21" s="5" t="s">
        <v>100</v>
      </c>
      <c r="M21" s="5" t="s">
        <v>100</v>
      </c>
      <c r="N21" s="5" t="s">
        <v>100</v>
      </c>
      <c r="O21" s="5" t="s">
        <v>46</v>
      </c>
      <c r="P21" s="10">
        <v>0</v>
      </c>
      <c r="Q21" s="5" t="s">
        <v>46</v>
      </c>
      <c r="R21" s="5"/>
      <c r="S21" s="5" t="s">
        <v>46</v>
      </c>
    </row>
    <row r="22" spans="1:20" ht="30">
      <c r="A22" s="15" t="s">
        <v>47</v>
      </c>
      <c r="C22" s="2">
        <v>46224</v>
      </c>
      <c r="D22" s="1" t="s">
        <v>48</v>
      </c>
      <c r="E22" s="19" t="s">
        <v>49</v>
      </c>
      <c r="F22" s="1">
        <v>35</v>
      </c>
      <c r="G22" s="7">
        <f>F22/0.16</f>
        <v>218.75</v>
      </c>
      <c r="J22" s="15" t="s">
        <v>149</v>
      </c>
      <c r="K22" s="1" t="s">
        <v>100</v>
      </c>
      <c r="L22" s="1" t="s">
        <v>100</v>
      </c>
      <c r="M22" s="1" t="s">
        <v>100</v>
      </c>
      <c r="N22" s="1" t="s">
        <v>100</v>
      </c>
      <c r="O22" s="1" t="s">
        <v>68</v>
      </c>
      <c r="P22" s="9">
        <v>700000</v>
      </c>
      <c r="Q22" s="4">
        <v>50000</v>
      </c>
      <c r="R22" s="4"/>
      <c r="S22" s="16" t="s">
        <v>20</v>
      </c>
    </row>
    <row r="23" spans="1:20">
      <c r="A23" s="15" t="s">
        <v>50</v>
      </c>
      <c r="B23" s="1">
        <v>81408</v>
      </c>
      <c r="C23" s="2">
        <v>46225</v>
      </c>
      <c r="D23" s="1">
        <v>1157568827</v>
      </c>
      <c r="E23" s="15" t="s">
        <v>51</v>
      </c>
      <c r="F23" s="1">
        <v>12</v>
      </c>
      <c r="G23" s="7">
        <f t="shared" ref="G23:G33" si="2">F23/0.16</f>
        <v>75</v>
      </c>
      <c r="J23" s="15" t="s">
        <v>150</v>
      </c>
      <c r="K23" s="1">
        <v>4</v>
      </c>
      <c r="L23" s="1" t="s">
        <v>100</v>
      </c>
      <c r="M23" s="1" t="s">
        <v>100</v>
      </c>
      <c r="N23" s="1" t="s">
        <v>100</v>
      </c>
      <c r="O23" s="1" t="s">
        <v>1</v>
      </c>
      <c r="P23" s="9">
        <v>367840</v>
      </c>
      <c r="S23" s="16" t="s">
        <v>20</v>
      </c>
    </row>
    <row r="24" spans="1:20">
      <c r="A24" s="32" t="s">
        <v>54</v>
      </c>
      <c r="C24" s="2">
        <v>46226</v>
      </c>
      <c r="D24" s="1">
        <v>1140334833</v>
      </c>
      <c r="E24" s="15" t="s">
        <v>55</v>
      </c>
      <c r="F24" s="1">
        <v>6</v>
      </c>
      <c r="G24" s="7">
        <f t="shared" si="2"/>
        <v>37.5</v>
      </c>
      <c r="J24" s="15" t="s">
        <v>146</v>
      </c>
      <c r="K24" s="1" t="s">
        <v>100</v>
      </c>
      <c r="L24" s="1" t="s">
        <v>100</v>
      </c>
      <c r="M24" s="1" t="s">
        <v>100</v>
      </c>
      <c r="N24" s="1" t="s">
        <v>100</v>
      </c>
      <c r="O24" s="1" t="s">
        <v>68</v>
      </c>
      <c r="P24" s="9">
        <v>120000</v>
      </c>
      <c r="S24" s="16" t="s">
        <v>20</v>
      </c>
    </row>
    <row r="25" spans="1:20">
      <c r="A25" s="15" t="s">
        <v>23</v>
      </c>
      <c r="C25" s="2">
        <v>46226</v>
      </c>
      <c r="D25" s="1">
        <v>1163075185</v>
      </c>
      <c r="E25" s="15" t="s">
        <v>24</v>
      </c>
      <c r="F25" s="1">
        <v>7</v>
      </c>
      <c r="G25" s="7">
        <f t="shared" si="2"/>
        <v>43.75</v>
      </c>
      <c r="K25" s="1" t="s">
        <v>100</v>
      </c>
      <c r="L25" s="1" t="s">
        <v>100</v>
      </c>
      <c r="M25" s="1" t="s">
        <v>100</v>
      </c>
      <c r="N25" s="1" t="s">
        <v>100</v>
      </c>
      <c r="O25" s="1" t="s">
        <v>68</v>
      </c>
      <c r="P25" s="9">
        <v>140000</v>
      </c>
      <c r="S25" s="16" t="s">
        <v>20</v>
      </c>
    </row>
    <row r="26" spans="1:20">
      <c r="A26" s="15" t="s">
        <v>56</v>
      </c>
      <c r="B26" s="1">
        <v>81411</v>
      </c>
      <c r="C26" s="2">
        <v>46227</v>
      </c>
      <c r="D26" s="1">
        <v>3624708444</v>
      </c>
      <c r="E26" s="15" t="s">
        <v>57</v>
      </c>
      <c r="F26" s="1">
        <v>130</v>
      </c>
      <c r="G26" s="7">
        <f t="shared" si="2"/>
        <v>812.5</v>
      </c>
      <c r="K26" s="1" t="s">
        <v>100</v>
      </c>
      <c r="L26" s="1" t="s">
        <v>100</v>
      </c>
      <c r="M26" s="1" t="s">
        <v>100</v>
      </c>
      <c r="N26" s="1" t="s">
        <v>100</v>
      </c>
      <c r="O26" s="1" t="s">
        <v>1</v>
      </c>
      <c r="P26" s="9">
        <v>3932500</v>
      </c>
      <c r="S26" s="16" t="s">
        <v>20</v>
      </c>
    </row>
    <row r="27" spans="1:20">
      <c r="A27" s="15" t="s">
        <v>58</v>
      </c>
      <c r="C27" s="2">
        <v>46227</v>
      </c>
      <c r="D27" s="1" t="s">
        <v>60</v>
      </c>
      <c r="E27" s="15" t="s">
        <v>59</v>
      </c>
      <c r="F27" s="1">
        <v>12</v>
      </c>
      <c r="G27" s="7">
        <f t="shared" si="2"/>
        <v>75</v>
      </c>
      <c r="J27" s="15" t="s">
        <v>151</v>
      </c>
      <c r="K27" s="1">
        <v>4</v>
      </c>
      <c r="L27" s="1" t="s">
        <v>100</v>
      </c>
      <c r="M27" s="1" t="s">
        <v>100</v>
      </c>
      <c r="N27" s="1" t="s">
        <v>100</v>
      </c>
      <c r="O27" s="1" t="s">
        <v>1</v>
      </c>
      <c r="P27" s="9">
        <v>367840</v>
      </c>
      <c r="S27" s="16" t="s">
        <v>20</v>
      </c>
    </row>
    <row r="28" spans="1:20">
      <c r="A28" s="15" t="s">
        <v>58</v>
      </c>
      <c r="C28" s="2">
        <v>46230</v>
      </c>
      <c r="D28" s="1" t="s">
        <v>60</v>
      </c>
      <c r="E28" s="15" t="s">
        <v>59</v>
      </c>
      <c r="F28" s="1">
        <v>2</v>
      </c>
      <c r="G28" s="7">
        <f t="shared" si="2"/>
        <v>12.5</v>
      </c>
      <c r="J28" s="15" t="s">
        <v>151</v>
      </c>
      <c r="K28" s="1">
        <v>6</v>
      </c>
      <c r="L28" s="1" t="s">
        <v>100</v>
      </c>
      <c r="M28" s="1" t="s">
        <v>100</v>
      </c>
      <c r="N28" s="1" t="s">
        <v>100</v>
      </c>
      <c r="O28" s="1" t="s">
        <v>31</v>
      </c>
      <c r="P28" s="9">
        <v>60500</v>
      </c>
      <c r="S28" s="16" t="s">
        <v>20</v>
      </c>
    </row>
    <row r="29" spans="1:20">
      <c r="A29" s="15" t="s">
        <v>61</v>
      </c>
      <c r="B29" s="1">
        <v>81420</v>
      </c>
      <c r="C29" s="2">
        <v>46230</v>
      </c>
      <c r="D29" s="1">
        <v>1136292667</v>
      </c>
      <c r="E29" s="15" t="s">
        <v>62</v>
      </c>
      <c r="F29" s="1">
        <v>6</v>
      </c>
      <c r="G29" s="7">
        <f t="shared" si="2"/>
        <v>37.5</v>
      </c>
      <c r="J29" s="15" t="s">
        <v>128</v>
      </c>
      <c r="K29" s="1" t="s">
        <v>100</v>
      </c>
      <c r="L29" s="1" t="s">
        <v>100</v>
      </c>
      <c r="M29" s="1" t="s">
        <v>100</v>
      </c>
      <c r="N29" s="1" t="s">
        <v>100</v>
      </c>
      <c r="O29" s="1" t="s">
        <v>1</v>
      </c>
      <c r="P29" s="9">
        <v>181500</v>
      </c>
      <c r="S29" s="16" t="s">
        <v>20</v>
      </c>
    </row>
    <row r="30" spans="1:20">
      <c r="A30" s="15" t="s">
        <v>63</v>
      </c>
      <c r="B30" s="1">
        <v>81421</v>
      </c>
      <c r="C30" s="2">
        <v>46230</v>
      </c>
      <c r="D30" s="1">
        <v>93517075864</v>
      </c>
      <c r="E30" s="15" t="s">
        <v>64</v>
      </c>
      <c r="F30" s="1">
        <v>16</v>
      </c>
      <c r="G30" s="7">
        <f t="shared" si="2"/>
        <v>100</v>
      </c>
      <c r="J30" s="15" t="s">
        <v>125</v>
      </c>
      <c r="K30" s="1">
        <v>20</v>
      </c>
      <c r="L30" s="1" t="s">
        <v>100</v>
      </c>
      <c r="M30" s="1" t="s">
        <v>100</v>
      </c>
      <c r="N30" s="1" t="s">
        <v>100</v>
      </c>
      <c r="O30" s="1" t="s">
        <v>65</v>
      </c>
      <c r="P30" s="9">
        <v>508200</v>
      </c>
      <c r="S30" s="16" t="s">
        <v>20</v>
      </c>
    </row>
    <row r="31" spans="1:20" ht="30">
      <c r="A31" s="15" t="s">
        <v>66</v>
      </c>
      <c r="C31" s="2">
        <v>46234</v>
      </c>
      <c r="D31" s="1">
        <v>1159928033</v>
      </c>
      <c r="E31" s="15" t="s">
        <v>67</v>
      </c>
      <c r="F31" s="1">
        <v>56</v>
      </c>
      <c r="G31" s="7">
        <f t="shared" si="2"/>
        <v>350</v>
      </c>
      <c r="J31" s="15" t="s">
        <v>125</v>
      </c>
      <c r="K31" s="1">
        <v>9</v>
      </c>
      <c r="L31" s="1" t="s">
        <v>125</v>
      </c>
      <c r="M31" s="1" t="s">
        <v>100</v>
      </c>
      <c r="N31" s="1" t="s">
        <v>100</v>
      </c>
      <c r="O31" s="1" t="s">
        <v>68</v>
      </c>
      <c r="P31" s="9">
        <v>1040000</v>
      </c>
      <c r="S31" s="16" t="s">
        <v>20</v>
      </c>
    </row>
    <row r="32" spans="1:20">
      <c r="A32" s="15" t="s">
        <v>25</v>
      </c>
      <c r="B32" s="1">
        <v>81432</v>
      </c>
      <c r="C32" s="2">
        <v>46234</v>
      </c>
      <c r="D32" s="1" t="s">
        <v>26</v>
      </c>
      <c r="E32" s="15" t="s">
        <v>27</v>
      </c>
      <c r="F32" s="1">
        <v>2</v>
      </c>
      <c r="G32" s="7">
        <f t="shared" si="2"/>
        <v>12.5</v>
      </c>
      <c r="J32" s="15" t="s">
        <v>125</v>
      </c>
      <c r="K32" s="1" t="s">
        <v>101</v>
      </c>
      <c r="L32" s="1" t="s">
        <v>100</v>
      </c>
      <c r="M32" s="1" t="s">
        <v>100</v>
      </c>
      <c r="N32" s="1" t="s">
        <v>100</v>
      </c>
      <c r="O32" s="1" t="s">
        <v>69</v>
      </c>
      <c r="P32" s="9">
        <v>60500</v>
      </c>
      <c r="S32" s="16" t="s">
        <v>86</v>
      </c>
    </row>
    <row r="33" spans="1:20" ht="30">
      <c r="A33" s="15" t="s">
        <v>80</v>
      </c>
      <c r="B33" s="1">
        <v>81435</v>
      </c>
      <c r="C33" s="2">
        <v>46234</v>
      </c>
      <c r="D33" s="1" t="s">
        <v>71</v>
      </c>
      <c r="F33" s="1">
        <v>1</v>
      </c>
      <c r="G33" s="7">
        <f t="shared" si="2"/>
        <v>6.25</v>
      </c>
      <c r="K33" s="1">
        <v>10</v>
      </c>
      <c r="L33" s="1" t="s">
        <v>100</v>
      </c>
      <c r="M33" s="1">
        <v>4</v>
      </c>
      <c r="N33" s="1" t="s">
        <v>100</v>
      </c>
      <c r="O33" s="1" t="s">
        <v>31</v>
      </c>
      <c r="P33" s="9">
        <v>41140</v>
      </c>
      <c r="S33" s="16" t="s">
        <v>86</v>
      </c>
    </row>
    <row r="34" spans="1:20">
      <c r="A34" s="15" t="s">
        <v>9</v>
      </c>
      <c r="C34" s="2">
        <v>46237</v>
      </c>
      <c r="D34" s="1" t="s">
        <v>10</v>
      </c>
      <c r="E34" s="15" t="s">
        <v>11</v>
      </c>
      <c r="F34" s="1">
        <v>1</v>
      </c>
      <c r="H34" s="7">
        <f>F34/0.16</f>
        <v>6.25</v>
      </c>
      <c r="J34" s="15" t="s">
        <v>152</v>
      </c>
      <c r="K34" s="1" t="s">
        <v>100</v>
      </c>
      <c r="L34" s="1" t="s">
        <v>100</v>
      </c>
      <c r="M34" s="1" t="s">
        <v>100</v>
      </c>
      <c r="N34" s="1" t="s">
        <v>100</v>
      </c>
      <c r="O34" s="1" t="s">
        <v>68</v>
      </c>
      <c r="S34" s="13" t="s">
        <v>129</v>
      </c>
    </row>
    <row r="35" spans="1:20">
      <c r="A35" s="15" t="s">
        <v>78</v>
      </c>
      <c r="B35" s="1">
        <v>81436</v>
      </c>
      <c r="C35" s="2">
        <v>46237</v>
      </c>
      <c r="D35" s="1">
        <v>92215405526</v>
      </c>
      <c r="E35" s="15" t="s">
        <v>79</v>
      </c>
      <c r="F35" s="1">
        <v>25</v>
      </c>
      <c r="G35" s="7">
        <f>F35/0.16</f>
        <v>156.25</v>
      </c>
      <c r="J35" s="15" t="s">
        <v>125</v>
      </c>
      <c r="K35" s="1">
        <v>100</v>
      </c>
      <c r="L35" s="1" t="s">
        <v>153</v>
      </c>
      <c r="M35" s="1">
        <v>20</v>
      </c>
      <c r="N35" s="1" t="s">
        <v>154</v>
      </c>
      <c r="O35" s="1" t="s">
        <v>69</v>
      </c>
      <c r="P35" s="9">
        <v>798600</v>
      </c>
      <c r="S35" s="16" t="s">
        <v>20</v>
      </c>
    </row>
    <row r="36" spans="1:20" ht="30">
      <c r="A36" s="15" t="s">
        <v>72</v>
      </c>
      <c r="C36" s="2">
        <v>46238</v>
      </c>
      <c r="D36" s="1" t="s">
        <v>73</v>
      </c>
      <c r="F36" s="1">
        <v>37</v>
      </c>
      <c r="G36" s="7">
        <f t="shared" ref="G36:G42" si="3">F36/0.16</f>
        <v>231.25</v>
      </c>
      <c r="J36" s="15" t="s">
        <v>140</v>
      </c>
      <c r="K36" s="1" t="s">
        <v>101</v>
      </c>
      <c r="L36" s="1" t="s">
        <v>100</v>
      </c>
      <c r="M36" s="1" t="s">
        <v>100</v>
      </c>
      <c r="N36" s="1" t="s">
        <v>100</v>
      </c>
      <c r="O36" s="1" t="s">
        <v>68</v>
      </c>
      <c r="P36" s="9">
        <v>747000</v>
      </c>
      <c r="Q36" s="4"/>
      <c r="R36" s="4"/>
      <c r="S36" s="16" t="s">
        <v>20</v>
      </c>
    </row>
    <row r="37" spans="1:20">
      <c r="A37" s="15" t="s">
        <v>23</v>
      </c>
      <c r="C37" s="2">
        <v>46238</v>
      </c>
      <c r="D37" s="1">
        <v>1163075185</v>
      </c>
      <c r="E37" s="15" t="s">
        <v>24</v>
      </c>
      <c r="F37" s="1">
        <v>2</v>
      </c>
      <c r="G37" s="7">
        <f t="shared" si="3"/>
        <v>12.5</v>
      </c>
      <c r="J37" s="15" t="s">
        <v>128</v>
      </c>
      <c r="K37" s="1" t="s">
        <v>101</v>
      </c>
      <c r="L37" s="1" t="s">
        <v>100</v>
      </c>
      <c r="M37" s="1" t="s">
        <v>100</v>
      </c>
      <c r="N37" s="1" t="s">
        <v>100</v>
      </c>
      <c r="O37" s="1" t="s">
        <v>68</v>
      </c>
      <c r="P37" s="9">
        <v>40000</v>
      </c>
      <c r="S37" s="16" t="s">
        <v>20</v>
      </c>
    </row>
    <row r="38" spans="1:20">
      <c r="A38" s="15" t="s">
        <v>74</v>
      </c>
      <c r="B38" s="1">
        <v>81438</v>
      </c>
      <c r="C38" s="2">
        <v>46238</v>
      </c>
      <c r="D38" s="1" t="s">
        <v>75</v>
      </c>
      <c r="E38" s="15" t="s">
        <v>76</v>
      </c>
      <c r="F38" s="1">
        <v>500</v>
      </c>
      <c r="G38" s="7">
        <f t="shared" si="3"/>
        <v>3125</v>
      </c>
      <c r="J38" s="15" t="s">
        <v>128</v>
      </c>
      <c r="K38" s="1" t="s">
        <v>100</v>
      </c>
      <c r="L38" s="1" t="s">
        <v>100</v>
      </c>
      <c r="M38" s="1" t="s">
        <v>100</v>
      </c>
      <c r="N38" s="1" t="s">
        <v>100</v>
      </c>
      <c r="O38" s="1" t="s">
        <v>69</v>
      </c>
      <c r="P38" s="9">
        <v>12644500</v>
      </c>
      <c r="Q38" s="4"/>
      <c r="R38" s="4"/>
      <c r="S38" s="16" t="s">
        <v>20</v>
      </c>
    </row>
    <row r="39" spans="1:20" ht="30">
      <c r="A39" s="15" t="s">
        <v>81</v>
      </c>
      <c r="C39" s="2">
        <v>46239</v>
      </c>
      <c r="D39" s="1">
        <v>2213067758</v>
      </c>
      <c r="E39" s="15" t="s">
        <v>82</v>
      </c>
      <c r="F39" s="1">
        <v>314</v>
      </c>
      <c r="G39" s="7">
        <f t="shared" si="3"/>
        <v>1962.5</v>
      </c>
      <c r="J39" s="15" t="s">
        <v>156</v>
      </c>
      <c r="K39" s="1" t="s">
        <v>100</v>
      </c>
      <c r="L39" s="1" t="s">
        <v>100</v>
      </c>
      <c r="M39" s="1" t="s">
        <v>100</v>
      </c>
      <c r="N39" s="1" t="s">
        <v>100</v>
      </c>
      <c r="O39" s="1" t="s">
        <v>68</v>
      </c>
      <c r="P39" s="9">
        <v>6300000</v>
      </c>
      <c r="Q39" s="4">
        <v>2000000</v>
      </c>
      <c r="R39" s="4">
        <f>+P39-Q39</f>
        <v>4300000</v>
      </c>
      <c r="S39" s="13" t="s">
        <v>129</v>
      </c>
    </row>
    <row r="40" spans="1:20">
      <c r="A40" s="15" t="s">
        <v>23</v>
      </c>
      <c r="C40" s="2">
        <v>46244</v>
      </c>
      <c r="D40" s="1">
        <v>1163075185</v>
      </c>
      <c r="E40" s="15" t="s">
        <v>24</v>
      </c>
      <c r="F40" s="1">
        <v>1</v>
      </c>
      <c r="G40" s="7">
        <f t="shared" si="3"/>
        <v>6.25</v>
      </c>
      <c r="J40" s="15" t="s">
        <v>128</v>
      </c>
      <c r="K40" s="1" t="s">
        <v>100</v>
      </c>
      <c r="L40" s="1" t="s">
        <v>100</v>
      </c>
      <c r="M40" s="1" t="s">
        <v>100</v>
      </c>
      <c r="N40" s="1" t="s">
        <v>100</v>
      </c>
      <c r="O40" s="1" t="s">
        <v>68</v>
      </c>
      <c r="P40" s="9">
        <v>20000</v>
      </c>
      <c r="S40" s="16" t="s">
        <v>20</v>
      </c>
    </row>
    <row r="41" spans="1:20">
      <c r="A41" s="15" t="s">
        <v>83</v>
      </c>
      <c r="C41" s="2">
        <v>46244</v>
      </c>
      <c r="D41" s="1">
        <v>1139396846</v>
      </c>
      <c r="E41" s="15" t="s">
        <v>84</v>
      </c>
      <c r="F41" s="1">
        <v>21</v>
      </c>
      <c r="G41" s="7">
        <f t="shared" si="3"/>
        <v>131.25</v>
      </c>
      <c r="J41" s="15" t="s">
        <v>157</v>
      </c>
      <c r="K41" s="1" t="s">
        <v>100</v>
      </c>
      <c r="L41" s="1" t="s">
        <v>100</v>
      </c>
      <c r="M41" s="1" t="s">
        <v>100</v>
      </c>
      <c r="N41" s="1" t="s">
        <v>100</v>
      </c>
      <c r="O41" s="1" t="s">
        <v>68</v>
      </c>
      <c r="P41" s="9">
        <v>420000</v>
      </c>
      <c r="Q41" s="4">
        <v>100000</v>
      </c>
      <c r="R41" s="4"/>
      <c r="S41" s="16" t="s">
        <v>20</v>
      </c>
    </row>
    <row r="42" spans="1:20">
      <c r="A42" s="15" t="s">
        <v>85</v>
      </c>
      <c r="C42" s="2">
        <v>46245</v>
      </c>
      <c r="D42" s="1">
        <v>1171536749</v>
      </c>
      <c r="F42" s="1">
        <v>54</v>
      </c>
      <c r="G42" s="7">
        <f t="shared" si="3"/>
        <v>337.5</v>
      </c>
      <c r="J42" s="15" t="s">
        <v>158</v>
      </c>
      <c r="K42" s="1" t="s">
        <v>100</v>
      </c>
      <c r="L42" s="1" t="s">
        <v>100</v>
      </c>
      <c r="M42" s="1" t="s">
        <v>100</v>
      </c>
      <c r="N42" s="1" t="s">
        <v>100</v>
      </c>
      <c r="O42" s="1" t="s">
        <v>68</v>
      </c>
      <c r="P42" s="9">
        <v>1080000</v>
      </c>
      <c r="Q42" s="4">
        <v>80000</v>
      </c>
      <c r="R42" s="4"/>
      <c r="S42" s="16" t="s">
        <v>20</v>
      </c>
    </row>
    <row r="43" spans="1:20">
      <c r="A43" s="15" t="s">
        <v>9</v>
      </c>
      <c r="C43" s="2">
        <v>46245</v>
      </c>
      <c r="D43" s="1" t="s">
        <v>10</v>
      </c>
      <c r="E43" s="15" t="s">
        <v>11</v>
      </c>
      <c r="F43" s="1">
        <v>130</v>
      </c>
      <c r="H43" s="11">
        <f>F43/0.16</f>
        <v>812.5</v>
      </c>
      <c r="J43" s="15" t="s">
        <v>128</v>
      </c>
      <c r="K43" s="1" t="s">
        <v>100</v>
      </c>
      <c r="L43" s="1" t="s">
        <v>100</v>
      </c>
      <c r="M43" s="1" t="s">
        <v>100</v>
      </c>
      <c r="N43" s="1" t="s">
        <v>100</v>
      </c>
      <c r="O43" s="1" t="s">
        <v>68</v>
      </c>
      <c r="S43" s="13" t="s">
        <v>129</v>
      </c>
    </row>
    <row r="44" spans="1:20">
      <c r="A44" s="15" t="s">
        <v>9</v>
      </c>
      <c r="C44" s="2">
        <v>46246</v>
      </c>
      <c r="D44" s="1" t="s">
        <v>10</v>
      </c>
      <c r="E44" s="15" t="s">
        <v>11</v>
      </c>
      <c r="G44" s="7"/>
      <c r="K44" s="1">
        <v>50</v>
      </c>
      <c r="L44" s="1" t="s">
        <v>128</v>
      </c>
      <c r="M44" s="1" t="s">
        <v>100</v>
      </c>
      <c r="N44" s="1" t="s">
        <v>100</v>
      </c>
      <c r="S44" s="16" t="s">
        <v>86</v>
      </c>
    </row>
    <row r="45" spans="1:20" ht="30">
      <c r="A45" s="15" t="s">
        <v>90</v>
      </c>
      <c r="C45" s="2">
        <v>46246</v>
      </c>
      <c r="D45" s="1">
        <v>2116166266</v>
      </c>
      <c r="E45" s="15" t="s">
        <v>91</v>
      </c>
      <c r="F45" s="1">
        <v>40</v>
      </c>
      <c r="H45" s="7">
        <f>F45/0.16</f>
        <v>250</v>
      </c>
      <c r="J45" s="15" t="s">
        <v>159</v>
      </c>
      <c r="K45" s="1" t="s">
        <v>100</v>
      </c>
      <c r="L45" s="1" t="s">
        <v>100</v>
      </c>
      <c r="M45" s="1" t="s">
        <v>100</v>
      </c>
      <c r="N45" s="1" t="s">
        <v>100</v>
      </c>
      <c r="O45" s="1" t="s">
        <v>68</v>
      </c>
      <c r="P45" s="9">
        <v>1400000</v>
      </c>
      <c r="S45" s="16" t="s">
        <v>86</v>
      </c>
    </row>
    <row r="46" spans="1:20" ht="30">
      <c r="A46" s="15" t="s">
        <v>87</v>
      </c>
      <c r="B46" s="1">
        <v>81450</v>
      </c>
      <c r="C46" s="2">
        <v>46247</v>
      </c>
      <c r="E46" s="15" t="s">
        <v>88</v>
      </c>
      <c r="F46" s="1">
        <v>1</v>
      </c>
      <c r="G46" s="7">
        <f>F46/0.16</f>
        <v>6.25</v>
      </c>
      <c r="J46" s="15" t="s">
        <v>125</v>
      </c>
      <c r="K46" s="1" t="s">
        <v>100</v>
      </c>
      <c r="L46" s="1" t="s">
        <v>100</v>
      </c>
      <c r="M46" s="1" t="s">
        <v>100</v>
      </c>
      <c r="N46" s="1" t="s">
        <v>100</v>
      </c>
      <c r="O46" s="1" t="s">
        <v>89</v>
      </c>
      <c r="P46" s="9">
        <v>33088.82</v>
      </c>
      <c r="S46" s="17" t="s">
        <v>77</v>
      </c>
      <c r="T46" s="15" t="s">
        <v>183</v>
      </c>
    </row>
    <row r="47" spans="1:20">
      <c r="A47" s="15" t="s">
        <v>92</v>
      </c>
      <c r="B47" s="1">
        <v>81455</v>
      </c>
      <c r="C47" s="2">
        <v>46252</v>
      </c>
      <c r="D47" s="1">
        <v>1161762894</v>
      </c>
      <c r="E47" s="15" t="s">
        <v>93</v>
      </c>
      <c r="F47" s="1">
        <v>13</v>
      </c>
      <c r="G47" s="7">
        <f t="shared" ref="G47:G60" si="4">F47/0.16</f>
        <v>81.25</v>
      </c>
      <c r="J47" s="15" t="s">
        <v>128</v>
      </c>
      <c r="K47" s="1">
        <v>8</v>
      </c>
      <c r="L47" s="1" t="s">
        <v>100</v>
      </c>
      <c r="M47" s="1" t="s">
        <v>100</v>
      </c>
      <c r="N47" s="1" t="s">
        <v>100</v>
      </c>
      <c r="O47" s="1" t="s">
        <v>31</v>
      </c>
      <c r="P47" s="9">
        <v>355740</v>
      </c>
      <c r="Q47" s="4">
        <v>200000</v>
      </c>
      <c r="R47" s="4"/>
      <c r="S47" s="16" t="s">
        <v>20</v>
      </c>
    </row>
    <row r="48" spans="1:20" ht="30">
      <c r="A48" s="15" t="s">
        <v>4</v>
      </c>
      <c r="B48" s="1">
        <v>81456</v>
      </c>
      <c r="C48" s="2">
        <v>46252</v>
      </c>
      <c r="D48" s="1" t="s">
        <v>5</v>
      </c>
      <c r="E48" s="15" t="s">
        <v>7</v>
      </c>
      <c r="F48" s="1">
        <v>28</v>
      </c>
      <c r="G48" s="7">
        <f t="shared" si="4"/>
        <v>175</v>
      </c>
      <c r="K48" s="1">
        <v>15</v>
      </c>
      <c r="L48" s="1" t="s">
        <v>100</v>
      </c>
      <c r="M48" s="1" t="s">
        <v>100</v>
      </c>
      <c r="N48" s="1" t="s">
        <v>100</v>
      </c>
      <c r="O48" s="1" t="s">
        <v>31</v>
      </c>
      <c r="P48" s="9">
        <v>763510</v>
      </c>
      <c r="S48" s="16" t="s">
        <v>20</v>
      </c>
      <c r="T48" s="15" t="s">
        <v>168</v>
      </c>
    </row>
    <row r="49" spans="1:23">
      <c r="A49" s="28" t="s">
        <v>94</v>
      </c>
      <c r="B49" s="22"/>
      <c r="C49" s="27">
        <v>46252</v>
      </c>
      <c r="D49" s="22">
        <v>2317415018</v>
      </c>
      <c r="E49" s="28" t="s">
        <v>95</v>
      </c>
      <c r="F49" s="22">
        <v>70</v>
      </c>
      <c r="G49" s="29">
        <f t="shared" si="4"/>
        <v>437.5</v>
      </c>
      <c r="H49" s="22"/>
      <c r="I49" s="22"/>
      <c r="J49" s="28" t="s">
        <v>160</v>
      </c>
      <c r="K49" s="22">
        <v>18</v>
      </c>
      <c r="L49" s="22" t="s">
        <v>100</v>
      </c>
      <c r="M49" s="22" t="s">
        <v>100</v>
      </c>
      <c r="N49" s="22" t="s">
        <v>100</v>
      </c>
      <c r="O49" s="22" t="s">
        <v>68</v>
      </c>
      <c r="P49" s="30">
        <v>1418000</v>
      </c>
      <c r="Q49" s="22"/>
      <c r="R49" s="22"/>
      <c r="S49" s="31" t="s">
        <v>77</v>
      </c>
      <c r="T49" s="28" t="s">
        <v>169</v>
      </c>
    </row>
    <row r="50" spans="1:23">
      <c r="A50" s="24" t="s">
        <v>96</v>
      </c>
      <c r="B50" s="21"/>
      <c r="C50" s="23">
        <v>46253</v>
      </c>
      <c r="D50" s="21">
        <v>1126457323</v>
      </c>
      <c r="E50" s="24" t="s">
        <v>207</v>
      </c>
      <c r="F50" s="21">
        <v>19</v>
      </c>
      <c r="G50" s="25">
        <f t="shared" si="4"/>
        <v>118.75</v>
      </c>
      <c r="H50" s="21"/>
      <c r="I50" s="21"/>
      <c r="J50" s="24"/>
      <c r="K50" s="21" t="s">
        <v>100</v>
      </c>
      <c r="L50" s="21" t="s">
        <v>100</v>
      </c>
      <c r="M50" s="21" t="s">
        <v>100</v>
      </c>
      <c r="N50" s="21" t="s">
        <v>100</v>
      </c>
      <c r="O50" s="21" t="s">
        <v>68</v>
      </c>
      <c r="P50" s="26">
        <v>380000</v>
      </c>
      <c r="Q50" s="21"/>
      <c r="R50" s="21"/>
      <c r="S50" s="13" t="s">
        <v>129</v>
      </c>
      <c r="T50" s="24" t="s">
        <v>186</v>
      </c>
    </row>
    <row r="51" spans="1:23" ht="30">
      <c r="A51" s="15" t="s">
        <v>97</v>
      </c>
      <c r="C51" s="2">
        <v>46254</v>
      </c>
      <c r="D51" s="1" t="s">
        <v>98</v>
      </c>
      <c r="F51" s="1">
        <v>30</v>
      </c>
      <c r="G51" s="7">
        <f t="shared" si="4"/>
        <v>187.5</v>
      </c>
      <c r="J51" s="15" t="s">
        <v>161</v>
      </c>
      <c r="K51" s="1">
        <v>30</v>
      </c>
      <c r="L51" s="1" t="s">
        <v>155</v>
      </c>
      <c r="M51" s="1" t="s">
        <v>100</v>
      </c>
      <c r="N51" s="1" t="s">
        <v>100</v>
      </c>
      <c r="O51" s="1" t="s">
        <v>68</v>
      </c>
      <c r="P51" s="9">
        <v>630000</v>
      </c>
      <c r="Q51" s="4">
        <v>100000</v>
      </c>
      <c r="R51" s="9">
        <f t="shared" ref="R51:R54" si="5">P51-Q51</f>
        <v>530000</v>
      </c>
      <c r="S51" s="13" t="s">
        <v>129</v>
      </c>
      <c r="T51" s="15" t="s">
        <v>186</v>
      </c>
    </row>
    <row r="52" spans="1:23" ht="30">
      <c r="A52" s="15" t="s">
        <v>99</v>
      </c>
      <c r="C52" s="2">
        <v>46254</v>
      </c>
      <c r="D52" s="1">
        <v>2213556881</v>
      </c>
      <c r="E52" s="15" t="s">
        <v>138</v>
      </c>
      <c r="F52" s="1">
        <v>10</v>
      </c>
      <c r="G52" s="7">
        <f t="shared" si="4"/>
        <v>62.5</v>
      </c>
      <c r="J52" s="15" t="s">
        <v>137</v>
      </c>
      <c r="K52" s="1" t="s">
        <v>100</v>
      </c>
      <c r="L52" s="1" t="s">
        <v>100</v>
      </c>
      <c r="M52" s="1" t="s">
        <v>100</v>
      </c>
      <c r="N52" s="1" t="s">
        <v>100</v>
      </c>
      <c r="O52" s="1" t="s">
        <v>68</v>
      </c>
      <c r="P52" s="9">
        <v>200000</v>
      </c>
      <c r="Q52" s="8">
        <v>50000</v>
      </c>
      <c r="R52" s="9">
        <f t="shared" si="5"/>
        <v>150000</v>
      </c>
      <c r="S52" s="18" t="s">
        <v>70</v>
      </c>
      <c r="T52" s="15" t="s">
        <v>181</v>
      </c>
    </row>
    <row r="53" spans="1:23">
      <c r="A53" s="15" t="s">
        <v>94</v>
      </c>
      <c r="C53" s="2">
        <v>46254</v>
      </c>
      <c r="D53" s="1">
        <v>2317415018</v>
      </c>
      <c r="E53" s="15" t="s">
        <v>139</v>
      </c>
      <c r="F53" s="1">
        <v>70</v>
      </c>
      <c r="G53" s="7">
        <f t="shared" si="4"/>
        <v>437.5</v>
      </c>
      <c r="J53" s="15" t="s">
        <v>167</v>
      </c>
      <c r="K53" s="1">
        <v>18</v>
      </c>
      <c r="L53" s="1" t="s">
        <v>128</v>
      </c>
      <c r="M53" s="1" t="s">
        <v>100</v>
      </c>
      <c r="N53" s="1" t="s">
        <v>100</v>
      </c>
      <c r="O53" s="1" t="s">
        <v>68</v>
      </c>
      <c r="P53" s="9">
        <v>1418000</v>
      </c>
      <c r="Q53" s="8">
        <v>50000</v>
      </c>
      <c r="R53" s="9">
        <f t="shared" si="5"/>
        <v>1368000</v>
      </c>
      <c r="S53" s="17" t="s">
        <v>77</v>
      </c>
      <c r="T53" s="15" t="s">
        <v>169</v>
      </c>
    </row>
    <row r="54" spans="1:23">
      <c r="A54" s="15" t="s">
        <v>102</v>
      </c>
      <c r="B54" s="1">
        <v>81462</v>
      </c>
      <c r="C54" s="2">
        <v>46254</v>
      </c>
      <c r="D54" s="1" t="s">
        <v>103</v>
      </c>
      <c r="E54" s="15" t="s">
        <v>104</v>
      </c>
      <c r="F54" s="1">
        <v>25</v>
      </c>
      <c r="G54" s="7">
        <f t="shared" si="4"/>
        <v>156.25</v>
      </c>
      <c r="J54" s="15" t="s">
        <v>162</v>
      </c>
      <c r="K54" s="1" t="s">
        <v>100</v>
      </c>
      <c r="L54" s="1" t="s">
        <v>100</v>
      </c>
      <c r="M54" s="1" t="s">
        <v>100</v>
      </c>
      <c r="N54" s="1" t="s">
        <v>100</v>
      </c>
      <c r="O54" s="1" t="s">
        <v>69</v>
      </c>
      <c r="P54" s="9">
        <v>974050</v>
      </c>
      <c r="R54" s="9">
        <f t="shared" si="5"/>
        <v>974050</v>
      </c>
      <c r="S54" s="18" t="s">
        <v>70</v>
      </c>
      <c r="T54" s="15" t="s">
        <v>170</v>
      </c>
    </row>
    <row r="55" spans="1:23">
      <c r="A55" s="15" t="s">
        <v>126</v>
      </c>
      <c r="C55" s="2">
        <v>46255</v>
      </c>
      <c r="D55" s="1">
        <v>1140819999</v>
      </c>
      <c r="F55" s="1">
        <v>66</v>
      </c>
      <c r="G55" s="7">
        <f t="shared" si="4"/>
        <v>412.5</v>
      </c>
      <c r="J55" s="15" t="s">
        <v>127</v>
      </c>
      <c r="K55" s="1">
        <v>86</v>
      </c>
      <c r="L55" s="1" t="s">
        <v>128</v>
      </c>
      <c r="M55" s="1">
        <v>6</v>
      </c>
      <c r="N55" s="1" t="s">
        <v>128</v>
      </c>
      <c r="O55" s="1" t="s">
        <v>68</v>
      </c>
      <c r="P55" s="9">
        <v>1409000</v>
      </c>
      <c r="Q55" s="9">
        <v>100000</v>
      </c>
      <c r="R55" s="9">
        <f>P55-Q55</f>
        <v>1309000</v>
      </c>
      <c r="S55" s="13" t="s">
        <v>129</v>
      </c>
      <c r="W55" s="20"/>
    </row>
    <row r="56" spans="1:23">
      <c r="A56" s="15" t="s">
        <v>105</v>
      </c>
      <c r="C56" s="2">
        <v>46255</v>
      </c>
      <c r="D56" s="1">
        <v>1165093075</v>
      </c>
      <c r="E56" s="15" t="s">
        <v>106</v>
      </c>
      <c r="F56" s="1">
        <v>50</v>
      </c>
      <c r="G56" s="7">
        <f t="shared" si="4"/>
        <v>312.5</v>
      </c>
      <c r="J56" s="15" t="s">
        <v>142</v>
      </c>
      <c r="K56" s="1">
        <v>13</v>
      </c>
      <c r="L56" s="1" t="s">
        <v>100</v>
      </c>
      <c r="M56" s="1" t="s">
        <v>100</v>
      </c>
      <c r="N56" s="1" t="s">
        <v>100</v>
      </c>
      <c r="O56" s="1" t="s">
        <v>68</v>
      </c>
      <c r="P56" s="9">
        <v>1013000</v>
      </c>
      <c r="Q56" s="4">
        <v>60000</v>
      </c>
      <c r="R56" s="9">
        <f t="shared" ref="R56:R57" si="6">P56-Q56</f>
        <v>953000</v>
      </c>
      <c r="S56" s="17" t="s">
        <v>77</v>
      </c>
      <c r="T56" s="15" t="s">
        <v>171</v>
      </c>
    </row>
    <row r="57" spans="1:23">
      <c r="A57" s="15" t="s">
        <v>92</v>
      </c>
      <c r="C57" s="2">
        <v>46258</v>
      </c>
      <c r="D57" s="1">
        <v>1161762894</v>
      </c>
      <c r="E57" s="15" t="s">
        <v>136</v>
      </c>
      <c r="F57" s="1">
        <v>3</v>
      </c>
      <c r="G57" s="7">
        <f t="shared" si="4"/>
        <v>18.75</v>
      </c>
      <c r="J57" s="15" t="s">
        <v>128</v>
      </c>
      <c r="K57" s="1" t="s">
        <v>100</v>
      </c>
      <c r="L57" s="1" t="s">
        <v>100</v>
      </c>
      <c r="M57" s="1" t="s">
        <v>100</v>
      </c>
      <c r="N57" s="1" t="s">
        <v>100</v>
      </c>
      <c r="O57" s="1" t="s">
        <v>68</v>
      </c>
      <c r="P57" s="9">
        <v>60000</v>
      </c>
      <c r="R57" s="9">
        <f t="shared" si="6"/>
        <v>60000</v>
      </c>
      <c r="S57" s="13" t="s">
        <v>129</v>
      </c>
    </row>
    <row r="58" spans="1:23" ht="15" customHeight="1">
      <c r="A58" s="15" t="s">
        <v>107</v>
      </c>
      <c r="B58" s="1">
        <v>81465</v>
      </c>
      <c r="C58" s="2">
        <v>46258</v>
      </c>
      <c r="D58" s="1" t="s">
        <v>133</v>
      </c>
      <c r="E58" s="15" t="s">
        <v>134</v>
      </c>
      <c r="F58" s="1">
        <v>8</v>
      </c>
      <c r="G58" s="7">
        <f t="shared" si="4"/>
        <v>50</v>
      </c>
      <c r="J58" s="15" t="s">
        <v>135</v>
      </c>
      <c r="K58" s="1" t="s">
        <v>100</v>
      </c>
      <c r="L58" s="1" t="s">
        <v>100</v>
      </c>
      <c r="M58" s="1" t="s">
        <v>100</v>
      </c>
      <c r="N58" s="1" t="s">
        <v>100</v>
      </c>
      <c r="O58" s="1" t="s">
        <v>69</v>
      </c>
      <c r="P58" s="9">
        <v>212960</v>
      </c>
      <c r="Q58" s="9">
        <v>100000</v>
      </c>
      <c r="R58" s="9">
        <f>P58-Q58</f>
        <v>112960</v>
      </c>
      <c r="S58" s="17" t="s">
        <v>77</v>
      </c>
      <c r="T58" s="15" t="s">
        <v>182</v>
      </c>
    </row>
    <row r="59" spans="1:23">
      <c r="A59" s="15" t="s">
        <v>130</v>
      </c>
      <c r="C59" s="2">
        <v>46259</v>
      </c>
      <c r="D59" s="1">
        <v>1137752237</v>
      </c>
      <c r="E59" s="15" t="s">
        <v>131</v>
      </c>
      <c r="F59" s="1">
        <v>42</v>
      </c>
      <c r="G59" s="7">
        <f t="shared" si="4"/>
        <v>262.5</v>
      </c>
      <c r="J59" s="15" t="s">
        <v>132</v>
      </c>
      <c r="K59" s="1" t="s">
        <v>100</v>
      </c>
      <c r="L59" s="1" t="s">
        <v>100</v>
      </c>
      <c r="M59" s="1" t="s">
        <v>100</v>
      </c>
      <c r="N59" s="1" t="s">
        <v>100</v>
      </c>
      <c r="O59" s="1" t="s">
        <v>68</v>
      </c>
      <c r="P59" s="9">
        <v>840000</v>
      </c>
      <c r="Q59" s="4">
        <v>50000</v>
      </c>
      <c r="R59" s="9">
        <f>P59-Q59</f>
        <v>790000</v>
      </c>
      <c r="S59" s="18" t="s">
        <v>70</v>
      </c>
    </row>
    <row r="60" spans="1:23" ht="30">
      <c r="A60" s="15" t="s">
        <v>172</v>
      </c>
      <c r="C60" s="2">
        <v>46259</v>
      </c>
      <c r="D60" s="1">
        <v>1168481000</v>
      </c>
      <c r="E60" s="15" t="s">
        <v>173</v>
      </c>
      <c r="F60" s="1">
        <v>23</v>
      </c>
      <c r="G60" s="7">
        <f t="shared" si="4"/>
        <v>143.75</v>
      </c>
      <c r="J60" s="15" t="s">
        <v>174</v>
      </c>
      <c r="K60" s="1" t="s">
        <v>100</v>
      </c>
      <c r="L60" s="1" t="s">
        <v>100</v>
      </c>
      <c r="M60" s="1" t="s">
        <v>100</v>
      </c>
      <c r="N60" s="1" t="s">
        <v>100</v>
      </c>
      <c r="O60" s="1" t="s">
        <v>68</v>
      </c>
      <c r="P60" s="9">
        <v>460000</v>
      </c>
      <c r="Q60" s="4">
        <v>100000</v>
      </c>
      <c r="R60" s="9">
        <f>P60-Q60</f>
        <v>360000</v>
      </c>
      <c r="S60" s="18" t="s">
        <v>70</v>
      </c>
      <c r="T60" s="15" t="s">
        <v>175</v>
      </c>
    </row>
    <row r="61" spans="1:23" ht="30">
      <c r="A61" s="15" t="s">
        <v>176</v>
      </c>
      <c r="C61" s="1" t="s">
        <v>177</v>
      </c>
      <c r="D61" s="1">
        <v>2214252634</v>
      </c>
      <c r="E61" s="15" t="s">
        <v>178</v>
      </c>
      <c r="F61" s="1">
        <v>8</v>
      </c>
      <c r="I61" s="7">
        <v>100</v>
      </c>
      <c r="J61" s="15" t="s">
        <v>179</v>
      </c>
      <c r="K61" s="1">
        <v>104</v>
      </c>
      <c r="L61" s="1" t="s">
        <v>179</v>
      </c>
      <c r="M61" s="1">
        <v>4</v>
      </c>
      <c r="N61" s="1" t="s">
        <v>179</v>
      </c>
      <c r="O61" s="1" t="s">
        <v>68</v>
      </c>
      <c r="P61" s="9">
        <v>666000</v>
      </c>
      <c r="Q61" s="4">
        <v>100000</v>
      </c>
      <c r="R61" s="9">
        <f t="shared" ref="R61:R121" si="7">P61-Q61</f>
        <v>566000</v>
      </c>
      <c r="S61" s="18" t="s">
        <v>70</v>
      </c>
      <c r="T61" s="15" t="s">
        <v>180</v>
      </c>
    </row>
    <row r="62" spans="1:23" ht="45">
      <c r="A62" s="15" t="s">
        <v>187</v>
      </c>
      <c r="C62" s="2">
        <v>46260</v>
      </c>
      <c r="F62" s="1">
        <v>102</v>
      </c>
      <c r="G62" s="7">
        <f t="shared" ref="G62:G84" si="8">F62/0.16</f>
        <v>637.5</v>
      </c>
      <c r="J62" s="15" t="s">
        <v>188</v>
      </c>
      <c r="O62" s="1" t="s">
        <v>68</v>
      </c>
      <c r="P62" s="9">
        <v>2344000</v>
      </c>
      <c r="R62" s="9">
        <f t="shared" si="7"/>
        <v>2344000</v>
      </c>
      <c r="S62" s="18" t="s">
        <v>70</v>
      </c>
      <c r="T62" s="15" t="s">
        <v>189</v>
      </c>
    </row>
    <row r="63" spans="1:23" ht="30">
      <c r="A63" s="15" t="s">
        <v>190</v>
      </c>
      <c r="B63" s="1">
        <v>81474</v>
      </c>
      <c r="C63" s="2">
        <v>46260</v>
      </c>
      <c r="D63" s="1" t="s">
        <v>191</v>
      </c>
      <c r="E63" s="15" t="s">
        <v>192</v>
      </c>
      <c r="F63" s="1">
        <v>31</v>
      </c>
      <c r="G63" s="7">
        <f t="shared" si="8"/>
        <v>193.75</v>
      </c>
      <c r="J63" s="15" t="s">
        <v>193</v>
      </c>
      <c r="O63" s="1" t="s">
        <v>194</v>
      </c>
      <c r="P63" s="9">
        <v>937750</v>
      </c>
      <c r="R63" s="9">
        <f t="shared" si="7"/>
        <v>937750</v>
      </c>
      <c r="S63" s="18" t="s">
        <v>70</v>
      </c>
      <c r="T63" s="15" t="s">
        <v>195</v>
      </c>
    </row>
    <row r="64" spans="1:23">
      <c r="A64" s="15" t="s">
        <v>196</v>
      </c>
      <c r="C64" s="2">
        <v>46260</v>
      </c>
      <c r="D64" s="1">
        <v>1162413139</v>
      </c>
      <c r="E64" s="15" t="s">
        <v>197</v>
      </c>
      <c r="F64" s="1">
        <v>6</v>
      </c>
      <c r="G64" s="7">
        <f t="shared" si="8"/>
        <v>37.5</v>
      </c>
      <c r="J64" s="15" t="s">
        <v>151</v>
      </c>
      <c r="O64" s="1" t="s">
        <v>68</v>
      </c>
      <c r="P64" s="9">
        <v>120000</v>
      </c>
      <c r="Q64" s="4">
        <v>20000</v>
      </c>
      <c r="R64" s="9">
        <f t="shared" si="7"/>
        <v>100000</v>
      </c>
      <c r="S64" s="18" t="s">
        <v>70</v>
      </c>
      <c r="T64" s="15" t="s">
        <v>200</v>
      </c>
    </row>
    <row r="65" spans="1:20">
      <c r="A65" s="15" t="s">
        <v>198</v>
      </c>
      <c r="C65" s="2">
        <v>46261</v>
      </c>
      <c r="D65" s="1">
        <v>1168036596</v>
      </c>
      <c r="E65" s="15" t="s">
        <v>199</v>
      </c>
      <c r="F65" s="1">
        <v>65</v>
      </c>
      <c r="G65" s="7">
        <f t="shared" si="8"/>
        <v>406.25</v>
      </c>
      <c r="J65" s="15" t="s">
        <v>125</v>
      </c>
      <c r="O65" s="1" t="s">
        <v>68</v>
      </c>
      <c r="P65" s="9">
        <v>1300000</v>
      </c>
      <c r="Q65" s="4">
        <v>100000</v>
      </c>
      <c r="R65" s="9">
        <f t="shared" si="7"/>
        <v>1200000</v>
      </c>
      <c r="S65" s="18" t="s">
        <v>70</v>
      </c>
      <c r="T65" s="15" t="s">
        <v>200</v>
      </c>
    </row>
    <row r="66" spans="1:20">
      <c r="A66" s="15" t="s">
        <v>201</v>
      </c>
      <c r="C66" s="1" t="s">
        <v>202</v>
      </c>
      <c r="D66" s="1" t="s">
        <v>203</v>
      </c>
      <c r="F66" s="1">
        <v>12</v>
      </c>
      <c r="G66" s="7">
        <f t="shared" si="8"/>
        <v>75</v>
      </c>
      <c r="J66" s="15" t="s">
        <v>151</v>
      </c>
      <c r="O66" s="1" t="s">
        <v>68</v>
      </c>
      <c r="P66" s="9">
        <v>240000</v>
      </c>
      <c r="Q66" s="4">
        <v>40000</v>
      </c>
      <c r="R66" s="9">
        <f t="shared" si="7"/>
        <v>200000</v>
      </c>
      <c r="S66" s="18" t="s">
        <v>70</v>
      </c>
      <c r="T66" s="15" t="s">
        <v>200</v>
      </c>
    </row>
    <row r="67" spans="1:20" ht="30">
      <c r="A67" s="15" t="s">
        <v>205</v>
      </c>
      <c r="C67" s="2">
        <v>46265</v>
      </c>
      <c r="D67" s="1">
        <v>2325410310</v>
      </c>
      <c r="F67" s="1">
        <v>28</v>
      </c>
      <c r="G67" s="7">
        <f t="shared" si="8"/>
        <v>175</v>
      </c>
      <c r="J67" s="15" t="s">
        <v>204</v>
      </c>
      <c r="O67" s="1" t="s">
        <v>68</v>
      </c>
      <c r="P67" s="9">
        <v>560000</v>
      </c>
      <c r="Q67" s="4">
        <v>20000</v>
      </c>
      <c r="R67" s="9">
        <f t="shared" si="7"/>
        <v>540000</v>
      </c>
      <c r="S67" s="18" t="s">
        <v>70</v>
      </c>
      <c r="T67" s="15" t="s">
        <v>200</v>
      </c>
    </row>
    <row r="68" spans="1:20">
      <c r="A68" s="15" t="s">
        <v>206</v>
      </c>
      <c r="C68" s="2">
        <v>46262</v>
      </c>
      <c r="D68" s="21">
        <v>1126457323</v>
      </c>
      <c r="E68" s="15" t="s">
        <v>207</v>
      </c>
      <c r="F68" s="1">
        <v>16</v>
      </c>
      <c r="G68" s="7">
        <f t="shared" si="8"/>
        <v>100</v>
      </c>
      <c r="J68" s="15" t="s">
        <v>155</v>
      </c>
      <c r="O68" s="1" t="s">
        <v>68</v>
      </c>
      <c r="P68" s="9">
        <v>320000</v>
      </c>
      <c r="Q68" s="4"/>
      <c r="R68" s="9">
        <f t="shared" si="7"/>
        <v>320000</v>
      </c>
      <c r="S68" s="13" t="s">
        <v>129</v>
      </c>
      <c r="T68" s="15" t="s">
        <v>200</v>
      </c>
    </row>
    <row r="69" spans="1:20" ht="45">
      <c r="A69" s="15" t="s">
        <v>208</v>
      </c>
      <c r="C69" s="2">
        <v>46266</v>
      </c>
      <c r="D69" s="1">
        <v>1123136000</v>
      </c>
      <c r="E69" s="15" t="s">
        <v>209</v>
      </c>
      <c r="F69" s="1" t="s">
        <v>210</v>
      </c>
      <c r="G69" s="7">
        <v>4</v>
      </c>
      <c r="H69" s="7">
        <v>2</v>
      </c>
      <c r="I69" s="7">
        <v>2</v>
      </c>
      <c r="J69" s="15" t="s">
        <v>211</v>
      </c>
      <c r="O69" s="1" t="s">
        <v>31</v>
      </c>
      <c r="P69" s="9">
        <v>35200</v>
      </c>
      <c r="Q69" s="4"/>
      <c r="R69" s="9">
        <f t="shared" si="7"/>
        <v>35200</v>
      </c>
      <c r="S69" s="13" t="s">
        <v>129</v>
      </c>
      <c r="T69" s="15" t="s">
        <v>200</v>
      </c>
    </row>
    <row r="70" spans="1:20">
      <c r="C70" s="2"/>
      <c r="G70" s="7">
        <f t="shared" si="8"/>
        <v>0</v>
      </c>
      <c r="Q70" s="4"/>
      <c r="R70" s="9">
        <f t="shared" si="7"/>
        <v>0</v>
      </c>
    </row>
    <row r="71" spans="1:20">
      <c r="C71" s="2"/>
      <c r="G71" s="7">
        <f t="shared" si="8"/>
        <v>0</v>
      </c>
      <c r="Q71" s="4"/>
      <c r="R71" s="9">
        <f t="shared" si="7"/>
        <v>0</v>
      </c>
    </row>
    <row r="72" spans="1:20">
      <c r="C72" s="2"/>
      <c r="G72" s="7">
        <f t="shared" si="8"/>
        <v>0</v>
      </c>
      <c r="Q72" s="4"/>
      <c r="R72" s="9">
        <f t="shared" si="7"/>
        <v>0</v>
      </c>
    </row>
    <row r="73" spans="1:20">
      <c r="C73" s="2"/>
      <c r="G73" s="7">
        <f t="shared" si="8"/>
        <v>0</v>
      </c>
      <c r="Q73" s="4"/>
      <c r="R73" s="9">
        <f t="shared" si="7"/>
        <v>0</v>
      </c>
    </row>
    <row r="74" spans="1:20">
      <c r="C74" s="2"/>
      <c r="G74" s="7">
        <f t="shared" si="8"/>
        <v>0</v>
      </c>
      <c r="Q74" s="4"/>
      <c r="R74" s="9">
        <f t="shared" si="7"/>
        <v>0</v>
      </c>
    </row>
    <row r="75" spans="1:20">
      <c r="C75" s="2"/>
      <c r="G75" s="7">
        <f t="shared" si="8"/>
        <v>0</v>
      </c>
      <c r="Q75" s="4"/>
      <c r="R75" s="9">
        <f t="shared" si="7"/>
        <v>0</v>
      </c>
    </row>
    <row r="76" spans="1:20">
      <c r="C76" s="2"/>
      <c r="G76" s="7">
        <f t="shared" si="8"/>
        <v>0</v>
      </c>
      <c r="Q76" s="4"/>
      <c r="R76" s="9">
        <f t="shared" si="7"/>
        <v>0</v>
      </c>
    </row>
    <row r="77" spans="1:20">
      <c r="C77" s="2"/>
      <c r="G77" s="7">
        <f t="shared" si="8"/>
        <v>0</v>
      </c>
      <c r="Q77" s="4"/>
      <c r="R77" s="9">
        <f t="shared" si="7"/>
        <v>0</v>
      </c>
    </row>
    <row r="78" spans="1:20">
      <c r="C78" s="2"/>
      <c r="G78" s="7">
        <f t="shared" si="8"/>
        <v>0</v>
      </c>
      <c r="Q78" s="4"/>
      <c r="R78" s="9">
        <f t="shared" si="7"/>
        <v>0</v>
      </c>
    </row>
    <row r="79" spans="1:20">
      <c r="C79" s="2"/>
      <c r="G79" s="7">
        <f t="shared" si="8"/>
        <v>0</v>
      </c>
      <c r="Q79" s="4"/>
      <c r="R79" s="9">
        <f t="shared" si="7"/>
        <v>0</v>
      </c>
    </row>
    <row r="80" spans="1:20">
      <c r="C80" s="2"/>
      <c r="G80" s="7">
        <f t="shared" si="8"/>
        <v>0</v>
      </c>
      <c r="Q80" s="4"/>
      <c r="R80" s="9">
        <f t="shared" si="7"/>
        <v>0</v>
      </c>
    </row>
    <row r="81" spans="1:20">
      <c r="C81" s="2"/>
      <c r="G81" s="7">
        <f t="shared" si="8"/>
        <v>0</v>
      </c>
      <c r="Q81" s="4"/>
      <c r="R81" s="9">
        <f t="shared" si="7"/>
        <v>0</v>
      </c>
    </row>
    <row r="82" spans="1:20">
      <c r="C82" s="2"/>
      <c r="G82" s="7">
        <f t="shared" si="8"/>
        <v>0</v>
      </c>
      <c r="Q82" s="4"/>
      <c r="R82" s="9">
        <f t="shared" si="7"/>
        <v>0</v>
      </c>
    </row>
    <row r="83" spans="1:20">
      <c r="G83" s="7">
        <f t="shared" si="8"/>
        <v>0</v>
      </c>
      <c r="Q83" s="4"/>
      <c r="R83" s="9">
        <f t="shared" si="7"/>
        <v>0</v>
      </c>
    </row>
    <row r="84" spans="1:20">
      <c r="G84" s="7">
        <f t="shared" si="8"/>
        <v>0</v>
      </c>
      <c r="Q84" s="4"/>
      <c r="R84" s="9">
        <f t="shared" si="7"/>
        <v>0</v>
      </c>
    </row>
    <row r="85" spans="1:20">
      <c r="A85" s="33" t="s">
        <v>185</v>
      </c>
      <c r="B85" s="34"/>
      <c r="C85" s="34"/>
      <c r="D85" s="34"/>
      <c r="E85" s="33"/>
      <c r="F85" s="34"/>
      <c r="G85" s="38">
        <f>SUM(G3:G84)</f>
        <v>16841.5</v>
      </c>
      <c r="H85" s="38">
        <f>SUM(H3:H84)</f>
        <v>1133.25</v>
      </c>
      <c r="I85" s="38">
        <f>SUM(I3:I84)</f>
        <v>520.75</v>
      </c>
      <c r="J85" s="33"/>
      <c r="K85" s="34"/>
      <c r="L85" s="34"/>
      <c r="M85" s="34"/>
      <c r="N85" s="34"/>
      <c r="O85" s="34"/>
      <c r="P85" s="35">
        <f>SUM(P3:P84)</f>
        <v>67344143.819999993</v>
      </c>
      <c r="Q85" s="34"/>
      <c r="R85" s="35">
        <f t="shared" si="7"/>
        <v>67344143.819999993</v>
      </c>
      <c r="S85" s="34"/>
      <c r="T85" s="33"/>
    </row>
    <row r="86" spans="1:20" ht="18.75">
      <c r="A86" s="36" t="s">
        <v>184</v>
      </c>
      <c r="B86" s="37"/>
      <c r="C86" s="37"/>
      <c r="D86" s="37"/>
      <c r="E86" s="36"/>
      <c r="F86" s="37"/>
      <c r="G86" s="39">
        <f>G85*0.16</f>
        <v>2694.64</v>
      </c>
      <c r="H86" s="39">
        <f t="shared" ref="H86:I86" si="9">H85*0.16</f>
        <v>181.32</v>
      </c>
      <c r="I86" s="39">
        <f t="shared" si="9"/>
        <v>83.320000000000007</v>
      </c>
      <c r="R86" s="9">
        <f t="shared" si="7"/>
        <v>0</v>
      </c>
    </row>
    <row r="87" spans="1:20">
      <c r="R87" s="9">
        <f t="shared" si="7"/>
        <v>0</v>
      </c>
    </row>
    <row r="88" spans="1:20">
      <c r="R88" s="9">
        <f t="shared" si="7"/>
        <v>0</v>
      </c>
    </row>
    <row r="89" spans="1:20">
      <c r="R89" s="9">
        <f t="shared" si="7"/>
        <v>0</v>
      </c>
    </row>
    <row r="90" spans="1:20">
      <c r="R90" s="9">
        <f t="shared" si="7"/>
        <v>0</v>
      </c>
    </row>
    <row r="91" spans="1:20">
      <c r="R91" s="9">
        <f t="shared" si="7"/>
        <v>0</v>
      </c>
    </row>
    <row r="92" spans="1:20">
      <c r="R92" s="9">
        <f t="shared" si="7"/>
        <v>0</v>
      </c>
    </row>
    <row r="93" spans="1:20">
      <c r="R93" s="9">
        <f t="shared" si="7"/>
        <v>0</v>
      </c>
    </row>
    <row r="94" spans="1:20">
      <c r="R94" s="9">
        <f t="shared" si="7"/>
        <v>0</v>
      </c>
    </row>
    <row r="95" spans="1:20">
      <c r="R95" s="9">
        <f t="shared" si="7"/>
        <v>0</v>
      </c>
    </row>
    <row r="96" spans="1:20">
      <c r="R96" s="9">
        <f t="shared" si="7"/>
        <v>0</v>
      </c>
    </row>
    <row r="97" spans="18:18">
      <c r="R97" s="9">
        <f t="shared" si="7"/>
        <v>0</v>
      </c>
    </row>
    <row r="98" spans="18:18">
      <c r="R98" s="9">
        <f t="shared" si="7"/>
        <v>0</v>
      </c>
    </row>
    <row r="99" spans="18:18">
      <c r="R99" s="9">
        <f t="shared" si="7"/>
        <v>0</v>
      </c>
    </row>
    <row r="100" spans="18:18">
      <c r="R100" s="9">
        <f t="shared" si="7"/>
        <v>0</v>
      </c>
    </row>
    <row r="101" spans="18:18">
      <c r="R101" s="9">
        <f t="shared" si="7"/>
        <v>0</v>
      </c>
    </row>
    <row r="102" spans="18:18">
      <c r="R102" s="9">
        <f t="shared" si="7"/>
        <v>0</v>
      </c>
    </row>
    <row r="103" spans="18:18">
      <c r="R103" s="9">
        <f t="shared" si="7"/>
        <v>0</v>
      </c>
    </row>
    <row r="104" spans="18:18">
      <c r="R104" s="9">
        <f t="shared" si="7"/>
        <v>0</v>
      </c>
    </row>
    <row r="105" spans="18:18">
      <c r="R105" s="9">
        <f t="shared" si="7"/>
        <v>0</v>
      </c>
    </row>
    <row r="106" spans="18:18">
      <c r="R106" s="9">
        <f t="shared" si="7"/>
        <v>0</v>
      </c>
    </row>
    <row r="107" spans="18:18">
      <c r="R107" s="9">
        <f t="shared" si="7"/>
        <v>0</v>
      </c>
    </row>
    <row r="108" spans="18:18">
      <c r="R108" s="9">
        <f t="shared" si="7"/>
        <v>0</v>
      </c>
    </row>
    <row r="109" spans="18:18">
      <c r="R109" s="9">
        <f t="shared" si="7"/>
        <v>0</v>
      </c>
    </row>
    <row r="110" spans="18:18">
      <c r="R110" s="9">
        <f t="shared" si="7"/>
        <v>0</v>
      </c>
    </row>
    <row r="111" spans="18:18">
      <c r="R111" s="9">
        <f t="shared" si="7"/>
        <v>0</v>
      </c>
    </row>
    <row r="112" spans="18:18">
      <c r="R112" s="9">
        <f t="shared" si="7"/>
        <v>0</v>
      </c>
    </row>
    <row r="113" spans="18:18">
      <c r="R113" s="9">
        <f t="shared" si="7"/>
        <v>0</v>
      </c>
    </row>
    <row r="114" spans="18:18">
      <c r="R114" s="9">
        <f t="shared" si="7"/>
        <v>0</v>
      </c>
    </row>
    <row r="115" spans="18:18">
      <c r="R115" s="9">
        <f t="shared" si="7"/>
        <v>0</v>
      </c>
    </row>
    <row r="116" spans="18:18">
      <c r="R116" s="9">
        <f t="shared" si="7"/>
        <v>0</v>
      </c>
    </row>
    <row r="117" spans="18:18">
      <c r="R117" s="9">
        <f t="shared" si="7"/>
        <v>0</v>
      </c>
    </row>
    <row r="118" spans="18:18">
      <c r="R118" s="9">
        <f t="shared" si="7"/>
        <v>0</v>
      </c>
    </row>
    <row r="119" spans="18:18">
      <c r="R119" s="9">
        <f t="shared" si="7"/>
        <v>0</v>
      </c>
    </row>
    <row r="120" spans="18:18">
      <c r="R120" s="9">
        <f t="shared" si="7"/>
        <v>0</v>
      </c>
    </row>
    <row r="121" spans="18:18">
      <c r="R121" s="9">
        <f t="shared" si="7"/>
        <v>0</v>
      </c>
    </row>
  </sheetData>
  <autoFilter ref="B2:S44"/>
  <mergeCells count="15">
    <mergeCell ref="T1:T2"/>
    <mergeCell ref="R1:R2"/>
    <mergeCell ref="S1:S2"/>
    <mergeCell ref="A1:A2"/>
    <mergeCell ref="C1:C2"/>
    <mergeCell ref="B1:B2"/>
    <mergeCell ref="K1:N1"/>
    <mergeCell ref="J1:J2"/>
    <mergeCell ref="P1:P2"/>
    <mergeCell ref="O1:O2"/>
    <mergeCell ref="Q1:Q2"/>
    <mergeCell ref="D1:D2"/>
    <mergeCell ref="E1:E2"/>
    <mergeCell ref="F1:F2"/>
    <mergeCell ref="G1:I1"/>
  </mergeCells>
  <pageMargins left="0.25" right="0.25" top="0.75" bottom="0.75" header="0.3" footer="0.3"/>
  <pageSetup scale="35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Braian La Leta</dc:creator>
  <cp:lastModifiedBy>Usuario</cp:lastModifiedBy>
  <cp:lastPrinted>2026-08-20T18:16:15Z</cp:lastPrinted>
  <dcterms:created xsi:type="dcterms:W3CDTF">2026-06-24T17:18:11Z</dcterms:created>
  <dcterms:modified xsi:type="dcterms:W3CDTF">2026-09-03T11:32:51Z</dcterms:modified>
</cp:coreProperties>
</file>