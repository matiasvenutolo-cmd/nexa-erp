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185" windowHeight="11835" tabRatio="575" firstSheet="1" activeTab="1"/>
  </bookViews>
  <sheets>
    <sheet name="GRAFICOS" sheetId="14" state="hidden" r:id="rId1"/>
    <sheet name="STOCK" sheetId="1" r:id="rId2"/>
    <sheet name="INGRESO" sheetId="6" r:id="rId3"/>
    <sheet name="BOLSONES" sheetId="16" state="hidden" r:id="rId4"/>
    <sheet name="EGRESO" sheetId="13" r:id="rId5"/>
    <sheet name="MASTER  " sheetId="23" r:id="rId6"/>
    <sheet name="BOLSONES " sheetId="28" r:id="rId7"/>
    <sheet name="borrador " sheetId="22" state="hidden" r:id="rId8"/>
    <sheet name="DATOS DE LA COMPRA " sheetId="15" r:id="rId9"/>
    <sheet name="Hoja1" sheetId="29" r:id="rId10"/>
  </sheets>
  <definedNames>
    <definedName name="_xlnm._FilterDatabase" localSheetId="2" hidden="1">INGRESO!#REF!</definedName>
    <definedName name="_xlnm._FilterDatabase" localSheetId="1" hidden="1">STOCK!$A$5:$M$46</definedName>
    <definedName name="_xlnm.Print_Area" localSheetId="3">BOLSONES!$B$1:$K$126</definedName>
    <definedName name="_xlnm.Print_Area" localSheetId="6">'BOLSONES '!$B$2:$L$12</definedName>
    <definedName name="_xlnm.Print_Area" localSheetId="7">'borrador '!$B$3:$L$187</definedName>
    <definedName name="_xlnm.Print_Area" localSheetId="8">'DATOS DE LA COMPRA '!$C$5:$N$7</definedName>
    <definedName name="_xlnm.Print_Area" localSheetId="4">EGRESO!$B$5:$C$21</definedName>
    <definedName name="_xlnm.Print_Area" localSheetId="2">INGRESO!$B$5:$C$22</definedName>
    <definedName name="_xlnm.Print_Area" localSheetId="5">'MASTER  '!$B$53:$H$96</definedName>
    <definedName name="_xlnm.Print_Area" localSheetId="1">STOCK!$B$5:$M$46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8" i="23" l="1"/>
  <c r="G323" i="23"/>
  <c r="H39" i="6" l="1"/>
  <c r="F401" i="23"/>
  <c r="C401" i="23"/>
  <c r="F402" i="23" s="1"/>
  <c r="H400" i="23"/>
  <c r="G400" i="23"/>
  <c r="E400" i="23"/>
  <c r="G399" i="23"/>
  <c r="H399" i="23" s="1"/>
  <c r="E399" i="23"/>
  <c r="H398" i="23"/>
  <c r="G398" i="23"/>
  <c r="E398" i="23"/>
  <c r="G397" i="23"/>
  <c r="H397" i="23" s="1"/>
  <c r="E397" i="23"/>
  <c r="H396" i="23"/>
  <c r="G396" i="23"/>
  <c r="E396" i="23"/>
  <c r="G395" i="23"/>
  <c r="H395" i="23" s="1"/>
  <c r="E395" i="23"/>
  <c r="H394" i="23"/>
  <c r="G394" i="23"/>
  <c r="E394" i="23"/>
  <c r="G393" i="23"/>
  <c r="H393" i="23" s="1"/>
  <c r="E393" i="23"/>
  <c r="G392" i="23"/>
  <c r="H392" i="23" s="1"/>
  <c r="E392" i="23"/>
  <c r="G391" i="23"/>
  <c r="H391" i="23" s="1"/>
  <c r="E391" i="23"/>
  <c r="H390" i="23"/>
  <c r="G390" i="23"/>
  <c r="E390" i="23"/>
  <c r="G389" i="23"/>
  <c r="H389" i="23" s="1"/>
  <c r="E389" i="23"/>
  <c r="H388" i="23"/>
  <c r="G388" i="23"/>
  <c r="E388" i="23"/>
  <c r="E401" i="23" s="1"/>
  <c r="G387" i="23"/>
  <c r="H387" i="23" s="1"/>
  <c r="G386" i="23"/>
  <c r="H386" i="23" s="1"/>
  <c r="E28" i="1"/>
  <c r="E29" i="1"/>
  <c r="E30" i="1"/>
  <c r="E31" i="1"/>
  <c r="E32" i="1"/>
  <c r="E33" i="1"/>
  <c r="E34" i="1"/>
  <c r="E35" i="1"/>
  <c r="E36" i="1"/>
  <c r="E37" i="1"/>
  <c r="E38" i="1"/>
  <c r="E40" i="1"/>
  <c r="E41" i="1"/>
  <c r="E42" i="1"/>
  <c r="E43" i="1"/>
  <c r="E44" i="1"/>
  <c r="E45" i="1"/>
  <c r="D28" i="1"/>
  <c r="D29" i="1"/>
  <c r="D30" i="1"/>
  <c r="D31" i="1"/>
  <c r="D32" i="1"/>
  <c r="D33" i="1"/>
  <c r="D34" i="1"/>
  <c r="D35" i="1"/>
  <c r="D36" i="1"/>
  <c r="D37" i="1"/>
  <c r="D38" i="1"/>
  <c r="D40" i="1"/>
  <c r="D41" i="1"/>
  <c r="D42" i="1"/>
  <c r="D43" i="1"/>
  <c r="D44" i="1"/>
  <c r="D45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3" i="1"/>
  <c r="E24" i="1"/>
  <c r="E25" i="1"/>
  <c r="D7" i="1"/>
  <c r="D8" i="1"/>
  <c r="D9" i="1"/>
  <c r="D10" i="1"/>
  <c r="D11" i="1"/>
  <c r="D12" i="1"/>
  <c r="D13" i="1"/>
  <c r="D14" i="1"/>
  <c r="D15" i="1"/>
  <c r="D16" i="1"/>
  <c r="D19" i="1"/>
  <c r="D20" i="1"/>
  <c r="D21" i="1"/>
  <c r="D22" i="1"/>
  <c r="D23" i="1"/>
  <c r="D24" i="1"/>
  <c r="D25" i="1"/>
  <c r="G401" i="23" l="1"/>
  <c r="H401" i="23" s="1"/>
  <c r="G322" i="23"/>
  <c r="H402" i="23" l="1"/>
  <c r="G255" i="23"/>
  <c r="G366" i="23"/>
  <c r="G344" i="23"/>
  <c r="G324" i="23"/>
  <c r="G301" i="23"/>
  <c r="F44" i="1" l="1"/>
  <c r="H44" i="1" s="1"/>
  <c r="X44" i="6"/>
  <c r="X44" i="13"/>
  <c r="X45" i="6"/>
  <c r="X24" i="13"/>
  <c r="X24" i="6"/>
  <c r="G167" i="23"/>
  <c r="G147" i="23"/>
  <c r="G105" i="23"/>
  <c r="F24" i="1" l="1"/>
  <c r="H24" i="1" s="1"/>
  <c r="E47" i="1"/>
  <c r="E48" i="1"/>
  <c r="E49" i="1"/>
  <c r="E50" i="1"/>
  <c r="E51" i="1"/>
  <c r="E52" i="1"/>
  <c r="E53" i="1"/>
  <c r="E54" i="1"/>
  <c r="E55" i="1"/>
  <c r="E56" i="1"/>
  <c r="E57" i="1"/>
  <c r="E6" i="1"/>
  <c r="D27" i="1"/>
  <c r="F33" i="1"/>
  <c r="H33" i="1" s="1"/>
  <c r="F41" i="1"/>
  <c r="H41" i="1" s="1"/>
  <c r="F45" i="1"/>
  <c r="H45" i="1" s="1"/>
  <c r="D47" i="1"/>
  <c r="F47" i="1" s="1"/>
  <c r="H47" i="1" s="1"/>
  <c r="D48" i="1"/>
  <c r="D49" i="1"/>
  <c r="D50" i="1"/>
  <c r="D51" i="1"/>
  <c r="D52" i="1"/>
  <c r="D53" i="1"/>
  <c r="D54" i="1"/>
  <c r="D55" i="1"/>
  <c r="F55" i="1" s="1"/>
  <c r="H55" i="1" s="1"/>
  <c r="D56" i="1"/>
  <c r="D57" i="1"/>
  <c r="F15" i="1"/>
  <c r="H15" i="1" s="1"/>
  <c r="F19" i="1"/>
  <c r="H19" i="1" s="1"/>
  <c r="F23" i="1"/>
  <c r="H23" i="1" s="1"/>
  <c r="X57" i="13"/>
  <c r="X56" i="13"/>
  <c r="X55" i="13"/>
  <c r="X54" i="13"/>
  <c r="X53" i="13"/>
  <c r="X52" i="13"/>
  <c r="X51" i="13"/>
  <c r="X50" i="13"/>
  <c r="X49" i="13"/>
  <c r="X48" i="13"/>
  <c r="X47" i="13"/>
  <c r="X45" i="13"/>
  <c r="X43" i="13"/>
  <c r="X42" i="13"/>
  <c r="X41" i="13"/>
  <c r="X40" i="13"/>
  <c r="X39" i="13"/>
  <c r="E39" i="1" s="1"/>
  <c r="X38" i="13"/>
  <c r="X37" i="13"/>
  <c r="X36" i="13"/>
  <c r="X35" i="13"/>
  <c r="X34" i="13"/>
  <c r="X33" i="13"/>
  <c r="X32" i="13"/>
  <c r="X31" i="13"/>
  <c r="X30" i="13"/>
  <c r="X29" i="13"/>
  <c r="X28" i="13"/>
  <c r="X27" i="13"/>
  <c r="E27" i="1" s="1"/>
  <c r="X25" i="13"/>
  <c r="X23" i="13"/>
  <c r="X22" i="13"/>
  <c r="E22" i="1" s="1"/>
  <c r="X21" i="13"/>
  <c r="X20" i="13"/>
  <c r="X19" i="13"/>
  <c r="X18" i="13"/>
  <c r="X17" i="13"/>
  <c r="X16" i="13"/>
  <c r="X15" i="13"/>
  <c r="X14" i="13"/>
  <c r="X13" i="13"/>
  <c r="X12" i="13"/>
  <c r="X11" i="13"/>
  <c r="X10" i="13"/>
  <c r="E10" i="1" s="1"/>
  <c r="X9" i="13"/>
  <c r="X8" i="13"/>
  <c r="X7" i="13"/>
  <c r="X6" i="13"/>
  <c r="X48" i="6"/>
  <c r="X49" i="6"/>
  <c r="X50" i="6"/>
  <c r="X51" i="6"/>
  <c r="X52" i="6"/>
  <c r="X53" i="6"/>
  <c r="X54" i="6"/>
  <c r="X55" i="6"/>
  <c r="X56" i="6"/>
  <c r="X57" i="6"/>
  <c r="X47" i="6"/>
  <c r="X7" i="6"/>
  <c r="X8" i="6"/>
  <c r="X9" i="6"/>
  <c r="X10" i="6"/>
  <c r="X11" i="6"/>
  <c r="X12" i="6"/>
  <c r="X13" i="6"/>
  <c r="X14" i="6"/>
  <c r="X15" i="6"/>
  <c r="X16" i="6"/>
  <c r="X17" i="6"/>
  <c r="D17" i="1" s="1"/>
  <c r="X18" i="6"/>
  <c r="D18" i="1" s="1"/>
  <c r="X19" i="6"/>
  <c r="X20" i="6"/>
  <c r="X21" i="6"/>
  <c r="X22" i="6"/>
  <c r="X23" i="6"/>
  <c r="X25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D39" i="1" s="1"/>
  <c r="X40" i="6"/>
  <c r="X41" i="6"/>
  <c r="X42" i="6"/>
  <c r="X43" i="6"/>
  <c r="X6" i="6"/>
  <c r="D6" i="1" s="1"/>
  <c r="F14" i="1" l="1"/>
  <c r="H14" i="1" s="1"/>
  <c r="F21" i="1"/>
  <c r="H21" i="1" s="1"/>
  <c r="F13" i="1"/>
  <c r="H13" i="1" s="1"/>
  <c r="F32" i="1"/>
  <c r="H32" i="1" s="1"/>
  <c r="F6" i="1"/>
  <c r="H6" i="1" s="1"/>
  <c r="F20" i="1"/>
  <c r="H20" i="1" s="1"/>
  <c r="F9" i="1"/>
  <c r="H9" i="1" s="1"/>
  <c r="F52" i="1"/>
  <c r="H52" i="1" s="1"/>
  <c r="F48" i="1"/>
  <c r="H48" i="1" s="1"/>
  <c r="F38" i="1"/>
  <c r="H38" i="1" s="1"/>
  <c r="F34" i="1"/>
  <c r="H34" i="1" s="1"/>
  <c r="F25" i="1"/>
  <c r="H25" i="1" s="1"/>
  <c r="F49" i="1"/>
  <c r="H49" i="1" s="1"/>
  <c r="F35" i="1"/>
  <c r="H35" i="1" s="1"/>
  <c r="F28" i="1"/>
  <c r="H28" i="1" s="1"/>
  <c r="F8" i="1"/>
  <c r="H8" i="1" s="1"/>
  <c r="F12" i="1"/>
  <c r="H12" i="1" s="1"/>
  <c r="F7" i="1"/>
  <c r="H7" i="1" s="1"/>
  <c r="F54" i="1"/>
  <c r="H54" i="1" s="1"/>
  <c r="F50" i="1"/>
  <c r="H50" i="1" s="1"/>
  <c r="F40" i="1"/>
  <c r="H40" i="1" s="1"/>
  <c r="F11" i="1"/>
  <c r="H11" i="1" s="1"/>
  <c r="F18" i="1"/>
  <c r="H18" i="1" s="1"/>
  <c r="F57" i="1"/>
  <c r="H57" i="1" s="1"/>
  <c r="F43" i="1"/>
  <c r="H43" i="1" s="1"/>
  <c r="F31" i="1"/>
  <c r="H31" i="1" s="1"/>
  <c r="F51" i="1"/>
  <c r="H51" i="1" s="1"/>
  <c r="F37" i="1"/>
  <c r="H37" i="1" s="1"/>
  <c r="F17" i="1"/>
  <c r="H17" i="1" s="1"/>
  <c r="F56" i="1"/>
  <c r="H56" i="1" s="1"/>
  <c r="F42" i="1"/>
  <c r="H42" i="1" s="1"/>
  <c r="F30" i="1"/>
  <c r="H30" i="1" s="1"/>
  <c r="F36" i="1"/>
  <c r="H36" i="1" s="1"/>
  <c r="F22" i="1"/>
  <c r="H22" i="1" s="1"/>
  <c r="F10" i="1"/>
  <c r="H10" i="1" s="1"/>
  <c r="F16" i="1"/>
  <c r="H16" i="1" s="1"/>
  <c r="F29" i="1"/>
  <c r="H29" i="1" s="1"/>
  <c r="F53" i="1"/>
  <c r="H53" i="1" s="1"/>
  <c r="F39" i="1"/>
  <c r="H39" i="1" s="1"/>
  <c r="F27" i="1"/>
  <c r="H27" i="1" s="1"/>
  <c r="K41" i="28"/>
  <c r="J41" i="28"/>
  <c r="I41" i="28"/>
  <c r="H41" i="28"/>
  <c r="D41" i="28"/>
  <c r="K42" i="28" l="1"/>
  <c r="K24" i="28" l="1"/>
  <c r="G125" i="23"/>
  <c r="F376" i="23" l="1"/>
  <c r="C376" i="23"/>
  <c r="G375" i="23"/>
  <c r="H375" i="23" s="1"/>
  <c r="E375" i="23"/>
  <c r="G374" i="23"/>
  <c r="H374" i="23" s="1"/>
  <c r="E374" i="23"/>
  <c r="G373" i="23"/>
  <c r="H373" i="23" s="1"/>
  <c r="E373" i="23"/>
  <c r="G372" i="23"/>
  <c r="H372" i="23" s="1"/>
  <c r="E372" i="23"/>
  <c r="G371" i="23"/>
  <c r="H371" i="23" s="1"/>
  <c r="E371" i="23"/>
  <c r="G370" i="23"/>
  <c r="H370" i="23" s="1"/>
  <c r="E370" i="23"/>
  <c r="G369" i="23"/>
  <c r="H369" i="23" s="1"/>
  <c r="E369" i="23"/>
  <c r="G368" i="23"/>
  <c r="H368" i="23" s="1"/>
  <c r="E368" i="23"/>
  <c r="G367" i="23"/>
  <c r="H367" i="23" s="1"/>
  <c r="E367" i="23"/>
  <c r="H366" i="23"/>
  <c r="E366" i="23"/>
  <c r="G365" i="23"/>
  <c r="H365" i="23" s="1"/>
  <c r="E365" i="23"/>
  <c r="G364" i="23"/>
  <c r="H364" i="23" s="1"/>
  <c r="E364" i="23"/>
  <c r="G363" i="23"/>
  <c r="H363" i="23" s="1"/>
  <c r="E363" i="23"/>
  <c r="G362" i="23"/>
  <c r="H362" i="23" s="1"/>
  <c r="G361" i="23"/>
  <c r="F355" i="23"/>
  <c r="C355" i="23"/>
  <c r="G354" i="23"/>
  <c r="H354" i="23" s="1"/>
  <c r="E354" i="23"/>
  <c r="G353" i="23"/>
  <c r="H353" i="23" s="1"/>
  <c r="E353" i="23"/>
  <c r="G352" i="23"/>
  <c r="H352" i="23" s="1"/>
  <c r="E352" i="23"/>
  <c r="G351" i="23"/>
  <c r="H351" i="23" s="1"/>
  <c r="E351" i="23"/>
  <c r="G350" i="23"/>
  <c r="H350" i="23" s="1"/>
  <c r="E350" i="23"/>
  <c r="G349" i="23"/>
  <c r="H349" i="23" s="1"/>
  <c r="E349" i="23"/>
  <c r="G348" i="23"/>
  <c r="H348" i="23" s="1"/>
  <c r="E348" i="23"/>
  <c r="G347" i="23"/>
  <c r="H347" i="23" s="1"/>
  <c r="E347" i="23"/>
  <c r="G346" i="23"/>
  <c r="H346" i="23" s="1"/>
  <c r="E346" i="23"/>
  <c r="G345" i="23"/>
  <c r="H345" i="23" s="1"/>
  <c r="E345" i="23"/>
  <c r="H344" i="23"/>
  <c r="E344" i="23"/>
  <c r="G343" i="23"/>
  <c r="H343" i="23" s="1"/>
  <c r="E343" i="23"/>
  <c r="H342" i="23"/>
  <c r="G342" i="23"/>
  <c r="E342" i="23"/>
  <c r="G341" i="23"/>
  <c r="H341" i="23" s="1"/>
  <c r="G340" i="23"/>
  <c r="H361" i="23" l="1"/>
  <c r="G376" i="23"/>
  <c r="H376" i="23" s="1"/>
  <c r="H340" i="23"/>
  <c r="G355" i="23"/>
  <c r="H355" i="23" s="1"/>
  <c r="F356" i="23"/>
  <c r="F377" i="23"/>
  <c r="E355" i="23"/>
  <c r="E376" i="23"/>
  <c r="G254" i="23"/>
  <c r="G208" i="23"/>
  <c r="H377" i="23" l="1"/>
  <c r="H356" i="23"/>
  <c r="G300" i="23"/>
  <c r="G188" i="23" l="1"/>
  <c r="G187" i="23"/>
  <c r="E80" i="23" l="1"/>
  <c r="G19" i="23" l="1"/>
  <c r="G10" i="23"/>
  <c r="G11" i="23"/>
  <c r="G12" i="23"/>
  <c r="G13" i="23"/>
  <c r="G14" i="23"/>
  <c r="G15" i="23"/>
  <c r="G16" i="23"/>
  <c r="G17" i="23"/>
  <c r="G18" i="23"/>
  <c r="G9" i="23"/>
  <c r="G8" i="23" l="1"/>
  <c r="G207" i="23" l="1"/>
  <c r="H207" i="23" s="1"/>
  <c r="G82" i="23"/>
  <c r="G186" i="23"/>
  <c r="F333" i="23"/>
  <c r="C333" i="23"/>
  <c r="G332" i="23"/>
  <c r="H332" i="23" s="1"/>
  <c r="E332" i="23"/>
  <c r="G331" i="23"/>
  <c r="H331" i="23" s="1"/>
  <c r="E331" i="23"/>
  <c r="G330" i="23"/>
  <c r="H330" i="23" s="1"/>
  <c r="E330" i="23"/>
  <c r="G329" i="23"/>
  <c r="H329" i="23" s="1"/>
  <c r="E329" i="23"/>
  <c r="G328" i="23"/>
  <c r="H328" i="23" s="1"/>
  <c r="E328" i="23"/>
  <c r="G327" i="23"/>
  <c r="H327" i="23" s="1"/>
  <c r="E327" i="23"/>
  <c r="G326" i="23"/>
  <c r="H326" i="23" s="1"/>
  <c r="E326" i="23"/>
  <c r="G325" i="23"/>
  <c r="H325" i="23" s="1"/>
  <c r="E325" i="23"/>
  <c r="H324" i="23"/>
  <c r="E324" i="23"/>
  <c r="H323" i="23"/>
  <c r="E323" i="23"/>
  <c r="E322" i="23"/>
  <c r="G321" i="23"/>
  <c r="H321" i="23" s="1"/>
  <c r="E321" i="23"/>
  <c r="G320" i="23"/>
  <c r="H320" i="23" s="1"/>
  <c r="E320" i="23"/>
  <c r="G319" i="23"/>
  <c r="H319" i="23" s="1"/>
  <c r="G318" i="23"/>
  <c r="H318" i="23" s="1"/>
  <c r="F310" i="23"/>
  <c r="G310" i="23" s="1"/>
  <c r="H310" i="23" s="1"/>
  <c r="C310" i="23"/>
  <c r="G309" i="23"/>
  <c r="H309" i="23" s="1"/>
  <c r="E309" i="23"/>
  <c r="G308" i="23"/>
  <c r="H308" i="23" s="1"/>
  <c r="E308" i="23"/>
  <c r="G307" i="23"/>
  <c r="H307" i="23" s="1"/>
  <c r="E307" i="23"/>
  <c r="G306" i="23"/>
  <c r="H306" i="23" s="1"/>
  <c r="E306" i="23"/>
  <c r="G305" i="23"/>
  <c r="H305" i="23" s="1"/>
  <c r="E305" i="23"/>
  <c r="G304" i="23"/>
  <c r="H304" i="23" s="1"/>
  <c r="E304" i="23"/>
  <c r="G303" i="23"/>
  <c r="H303" i="23" s="1"/>
  <c r="E303" i="23"/>
  <c r="G302" i="23"/>
  <c r="H302" i="23" s="1"/>
  <c r="E302" i="23"/>
  <c r="H301" i="23"/>
  <c r="E301" i="23"/>
  <c r="H300" i="23"/>
  <c r="E300" i="23"/>
  <c r="G299" i="23"/>
  <c r="H299" i="23" s="1"/>
  <c r="E299" i="23"/>
  <c r="G298" i="23"/>
  <c r="H298" i="23" s="1"/>
  <c r="E298" i="23"/>
  <c r="G297" i="23"/>
  <c r="H297" i="23" s="1"/>
  <c r="E297" i="23"/>
  <c r="G296" i="23"/>
  <c r="H296" i="23" s="1"/>
  <c r="G295" i="23"/>
  <c r="H295" i="23" s="1"/>
  <c r="F219" i="23"/>
  <c r="G219" i="23" s="1"/>
  <c r="H219" i="23" s="1"/>
  <c r="C219" i="23"/>
  <c r="G218" i="23"/>
  <c r="H218" i="23" s="1"/>
  <c r="E218" i="23"/>
  <c r="G217" i="23"/>
  <c r="H217" i="23" s="1"/>
  <c r="E217" i="23"/>
  <c r="G216" i="23"/>
  <c r="H216" i="23" s="1"/>
  <c r="E216" i="23"/>
  <c r="G215" i="23"/>
  <c r="H215" i="23" s="1"/>
  <c r="E215" i="23"/>
  <c r="G214" i="23"/>
  <c r="H214" i="23" s="1"/>
  <c r="E214" i="23"/>
  <c r="G213" i="23"/>
  <c r="H213" i="23" s="1"/>
  <c r="E213" i="23"/>
  <c r="G212" i="23"/>
  <c r="H212" i="23" s="1"/>
  <c r="E212" i="23"/>
  <c r="G211" i="23"/>
  <c r="H211" i="23" s="1"/>
  <c r="E211" i="23"/>
  <c r="G210" i="23"/>
  <c r="H210" i="23" s="1"/>
  <c r="E210" i="23"/>
  <c r="G209" i="23"/>
  <c r="H209" i="23" s="1"/>
  <c r="E209" i="23"/>
  <c r="H208" i="23"/>
  <c r="E208" i="23"/>
  <c r="E207" i="23"/>
  <c r="G206" i="23"/>
  <c r="H206" i="23" s="1"/>
  <c r="E206" i="23"/>
  <c r="G205" i="23"/>
  <c r="H205" i="23" s="1"/>
  <c r="G204" i="23"/>
  <c r="H204" i="23" s="1"/>
  <c r="F198" i="23"/>
  <c r="C198" i="23"/>
  <c r="G197" i="23"/>
  <c r="H197" i="23" s="1"/>
  <c r="E197" i="23"/>
  <c r="G196" i="23"/>
  <c r="H196" i="23" s="1"/>
  <c r="E196" i="23"/>
  <c r="G195" i="23"/>
  <c r="H195" i="23" s="1"/>
  <c r="E195" i="23"/>
  <c r="G194" i="23"/>
  <c r="H194" i="23" s="1"/>
  <c r="E194" i="23"/>
  <c r="G193" i="23"/>
  <c r="H193" i="23" s="1"/>
  <c r="E193" i="23"/>
  <c r="G192" i="23"/>
  <c r="H192" i="23" s="1"/>
  <c r="E192" i="23"/>
  <c r="G191" i="23"/>
  <c r="H191" i="23" s="1"/>
  <c r="E191" i="23"/>
  <c r="G190" i="23"/>
  <c r="H190" i="23" s="1"/>
  <c r="E190" i="23"/>
  <c r="G189" i="23"/>
  <c r="H189" i="23" s="1"/>
  <c r="E189" i="23"/>
  <c r="H188" i="23"/>
  <c r="E188" i="23"/>
  <c r="H187" i="23"/>
  <c r="E187" i="23"/>
  <c r="H186" i="23"/>
  <c r="E186" i="23"/>
  <c r="G185" i="23"/>
  <c r="H185" i="23" s="1"/>
  <c r="E185" i="23"/>
  <c r="G184" i="23"/>
  <c r="H184" i="23" s="1"/>
  <c r="G183" i="23"/>
  <c r="H183" i="23" s="1"/>
  <c r="E81" i="23"/>
  <c r="F288" i="23"/>
  <c r="G288" i="23" s="1"/>
  <c r="H288" i="23" s="1"/>
  <c r="C288" i="23"/>
  <c r="F289" i="23" s="1"/>
  <c r="G287" i="23"/>
  <c r="H287" i="23" s="1"/>
  <c r="E287" i="23"/>
  <c r="G286" i="23"/>
  <c r="H286" i="23" s="1"/>
  <c r="E286" i="23"/>
  <c r="G285" i="23"/>
  <c r="H285" i="23" s="1"/>
  <c r="E285" i="23"/>
  <c r="G284" i="23"/>
  <c r="H284" i="23" s="1"/>
  <c r="E284" i="23"/>
  <c r="G283" i="23"/>
  <c r="H283" i="23" s="1"/>
  <c r="E283" i="23"/>
  <c r="G282" i="23"/>
  <c r="H282" i="23" s="1"/>
  <c r="E282" i="23"/>
  <c r="G281" i="23"/>
  <c r="H281" i="23" s="1"/>
  <c r="E281" i="23"/>
  <c r="G280" i="23"/>
  <c r="H280" i="23" s="1"/>
  <c r="E280" i="23"/>
  <c r="G279" i="23"/>
  <c r="H279" i="23" s="1"/>
  <c r="E279" i="23"/>
  <c r="G278" i="23"/>
  <c r="H278" i="23" s="1"/>
  <c r="E278" i="23"/>
  <c r="G277" i="23"/>
  <c r="H277" i="23" s="1"/>
  <c r="E277" i="23"/>
  <c r="G276" i="23"/>
  <c r="H276" i="23" s="1"/>
  <c r="E276" i="23"/>
  <c r="G275" i="23"/>
  <c r="H275" i="23" s="1"/>
  <c r="E275" i="23"/>
  <c r="G274" i="23"/>
  <c r="H274" i="23" s="1"/>
  <c r="G273" i="23"/>
  <c r="H273" i="23" s="1"/>
  <c r="F265" i="23"/>
  <c r="C265" i="23"/>
  <c r="G264" i="23"/>
  <c r="H264" i="23" s="1"/>
  <c r="E264" i="23"/>
  <c r="G263" i="23"/>
  <c r="H263" i="23" s="1"/>
  <c r="E263" i="23"/>
  <c r="G262" i="23"/>
  <c r="H262" i="23" s="1"/>
  <c r="E262" i="23"/>
  <c r="G261" i="23"/>
  <c r="H261" i="23" s="1"/>
  <c r="E261" i="23"/>
  <c r="G260" i="23"/>
  <c r="H260" i="23" s="1"/>
  <c r="E260" i="23"/>
  <c r="G259" i="23"/>
  <c r="H259" i="23" s="1"/>
  <c r="E259" i="23"/>
  <c r="G258" i="23"/>
  <c r="H258" i="23" s="1"/>
  <c r="E258" i="23"/>
  <c r="G257" i="23"/>
  <c r="H257" i="23" s="1"/>
  <c r="E257" i="23"/>
  <c r="G256" i="23"/>
  <c r="H256" i="23" s="1"/>
  <c r="E256" i="23"/>
  <c r="E255" i="23"/>
  <c r="H254" i="23"/>
  <c r="E254" i="23"/>
  <c r="G253" i="23"/>
  <c r="H253" i="23" s="1"/>
  <c r="E253" i="23"/>
  <c r="G252" i="23"/>
  <c r="H252" i="23" s="1"/>
  <c r="E252" i="23"/>
  <c r="G251" i="23"/>
  <c r="H251" i="23" s="1"/>
  <c r="G250" i="23"/>
  <c r="H250" i="23" s="1"/>
  <c r="F242" i="23"/>
  <c r="G242" i="23" s="1"/>
  <c r="H242" i="23" s="1"/>
  <c r="C242" i="23"/>
  <c r="G241" i="23"/>
  <c r="H241" i="23" s="1"/>
  <c r="E241" i="23"/>
  <c r="G240" i="23"/>
  <c r="H240" i="23" s="1"/>
  <c r="E240" i="23"/>
  <c r="G239" i="23"/>
  <c r="H239" i="23" s="1"/>
  <c r="E239" i="23"/>
  <c r="G238" i="23"/>
  <c r="H238" i="23" s="1"/>
  <c r="E238" i="23"/>
  <c r="G237" i="23"/>
  <c r="H237" i="23" s="1"/>
  <c r="E237" i="23"/>
  <c r="G236" i="23"/>
  <c r="H236" i="23" s="1"/>
  <c r="E236" i="23"/>
  <c r="G235" i="23"/>
  <c r="H235" i="23" s="1"/>
  <c r="E235" i="23"/>
  <c r="G234" i="23"/>
  <c r="H234" i="23" s="1"/>
  <c r="E234" i="23"/>
  <c r="G233" i="23"/>
  <c r="H233" i="23" s="1"/>
  <c r="E233" i="23"/>
  <c r="G232" i="23"/>
  <c r="H232" i="23" s="1"/>
  <c r="E232" i="23"/>
  <c r="G231" i="23"/>
  <c r="H231" i="23" s="1"/>
  <c r="E231" i="23"/>
  <c r="G230" i="23"/>
  <c r="H230" i="23" s="1"/>
  <c r="E230" i="23"/>
  <c r="G229" i="23"/>
  <c r="H229" i="23" s="1"/>
  <c r="E229" i="23"/>
  <c r="G228" i="23"/>
  <c r="H228" i="23" s="1"/>
  <c r="G227" i="23"/>
  <c r="H227" i="23" s="1"/>
  <c r="H322" i="23" l="1"/>
  <c r="G333" i="23"/>
  <c r="H333" i="23" s="1"/>
  <c r="H255" i="23"/>
  <c r="G265" i="23"/>
  <c r="H265" i="23" s="1"/>
  <c r="E333" i="23"/>
  <c r="E310" i="23"/>
  <c r="H311" i="23" s="1"/>
  <c r="G198" i="23"/>
  <c r="H198" i="23" s="1"/>
  <c r="F334" i="23"/>
  <c r="F311" i="23"/>
  <c r="F220" i="23"/>
  <c r="F199" i="23"/>
  <c r="E198" i="23"/>
  <c r="E219" i="23"/>
  <c r="H220" i="23" s="1"/>
  <c r="F243" i="23"/>
  <c r="F266" i="23"/>
  <c r="E242" i="23"/>
  <c r="H243" i="23" s="1"/>
  <c r="E265" i="23"/>
  <c r="E288" i="23"/>
  <c r="H289" i="23" s="1"/>
  <c r="H334" i="23" l="1"/>
  <c r="H266" i="23"/>
  <c r="H199" i="23"/>
  <c r="D10" i="28" l="1"/>
  <c r="K23" i="28" l="1"/>
  <c r="J23" i="28"/>
  <c r="I23" i="28"/>
  <c r="H23" i="28"/>
  <c r="D23" i="28"/>
  <c r="F177" i="23" l="1"/>
  <c r="C177" i="23"/>
  <c r="G176" i="23"/>
  <c r="H176" i="23" s="1"/>
  <c r="E176" i="23"/>
  <c r="G175" i="23"/>
  <c r="H175" i="23" s="1"/>
  <c r="E175" i="23"/>
  <c r="G174" i="23"/>
  <c r="H174" i="23" s="1"/>
  <c r="E174" i="23"/>
  <c r="G173" i="23"/>
  <c r="H173" i="23" s="1"/>
  <c r="E173" i="23"/>
  <c r="G172" i="23"/>
  <c r="H172" i="23" s="1"/>
  <c r="E172" i="23"/>
  <c r="G171" i="23"/>
  <c r="H171" i="23" s="1"/>
  <c r="E171" i="23"/>
  <c r="G170" i="23"/>
  <c r="H170" i="23" s="1"/>
  <c r="E170" i="23"/>
  <c r="G169" i="23"/>
  <c r="H169" i="23" s="1"/>
  <c r="E169" i="23"/>
  <c r="H168" i="23"/>
  <c r="E168" i="23"/>
  <c r="H167" i="23"/>
  <c r="E167" i="23"/>
  <c r="G166" i="23"/>
  <c r="H166" i="23" s="1"/>
  <c r="E166" i="23"/>
  <c r="G165" i="23"/>
  <c r="H165" i="23" s="1"/>
  <c r="E165" i="23"/>
  <c r="G164" i="23"/>
  <c r="H164" i="23" s="1"/>
  <c r="E164" i="23"/>
  <c r="G163" i="23"/>
  <c r="H163" i="23" s="1"/>
  <c r="G162" i="23"/>
  <c r="F156" i="23"/>
  <c r="G156" i="23" s="1"/>
  <c r="H156" i="23" s="1"/>
  <c r="C156" i="23"/>
  <c r="G155" i="23"/>
  <c r="H155" i="23" s="1"/>
  <c r="E155" i="23"/>
  <c r="G154" i="23"/>
  <c r="H154" i="23" s="1"/>
  <c r="E154" i="23"/>
  <c r="G153" i="23"/>
  <c r="H153" i="23" s="1"/>
  <c r="E153" i="23"/>
  <c r="G152" i="23"/>
  <c r="H152" i="23" s="1"/>
  <c r="E152" i="23"/>
  <c r="G151" i="23"/>
  <c r="H151" i="23" s="1"/>
  <c r="E151" i="23"/>
  <c r="G150" i="23"/>
  <c r="H150" i="23" s="1"/>
  <c r="E150" i="23"/>
  <c r="G149" i="23"/>
  <c r="H149" i="23" s="1"/>
  <c r="E149" i="23"/>
  <c r="G148" i="23"/>
  <c r="H148" i="23" s="1"/>
  <c r="E148" i="23"/>
  <c r="H147" i="23"/>
  <c r="E147" i="23"/>
  <c r="G146" i="23"/>
  <c r="H146" i="23" s="1"/>
  <c r="E146" i="23"/>
  <c r="G145" i="23"/>
  <c r="H145" i="23" s="1"/>
  <c r="E145" i="23"/>
  <c r="G144" i="23"/>
  <c r="H144" i="23" s="1"/>
  <c r="E144" i="23"/>
  <c r="G143" i="23"/>
  <c r="H143" i="23" s="1"/>
  <c r="E143" i="23"/>
  <c r="G142" i="23"/>
  <c r="H142" i="23" s="1"/>
  <c r="G141" i="23"/>
  <c r="H141" i="23" s="1"/>
  <c r="F135" i="23"/>
  <c r="G135" i="23" s="1"/>
  <c r="H135" i="23" s="1"/>
  <c r="C135" i="23"/>
  <c r="G134" i="23"/>
  <c r="H134" i="23" s="1"/>
  <c r="E134" i="23"/>
  <c r="G133" i="23"/>
  <c r="H133" i="23" s="1"/>
  <c r="E133" i="23"/>
  <c r="G132" i="23"/>
  <c r="H132" i="23" s="1"/>
  <c r="E132" i="23"/>
  <c r="G131" i="23"/>
  <c r="H131" i="23" s="1"/>
  <c r="E131" i="23"/>
  <c r="G130" i="23"/>
  <c r="H130" i="23" s="1"/>
  <c r="E130" i="23"/>
  <c r="G129" i="23"/>
  <c r="H129" i="23" s="1"/>
  <c r="E129" i="23"/>
  <c r="G128" i="23"/>
  <c r="H128" i="23" s="1"/>
  <c r="E128" i="23"/>
  <c r="G127" i="23"/>
  <c r="H127" i="23" s="1"/>
  <c r="E127" i="23"/>
  <c r="G126" i="23"/>
  <c r="H126" i="23" s="1"/>
  <c r="E126" i="23"/>
  <c r="H125" i="23"/>
  <c r="E125" i="23"/>
  <c r="G124" i="23"/>
  <c r="H124" i="23" s="1"/>
  <c r="E124" i="23"/>
  <c r="G123" i="23"/>
  <c r="H123" i="23" s="1"/>
  <c r="E123" i="23"/>
  <c r="G122" i="23"/>
  <c r="H122" i="23" s="1"/>
  <c r="E122" i="23"/>
  <c r="G121" i="23"/>
  <c r="H121" i="23" s="1"/>
  <c r="G120" i="23"/>
  <c r="H120" i="23" s="1"/>
  <c r="F93" i="23"/>
  <c r="C93" i="23"/>
  <c r="G92" i="23"/>
  <c r="H92" i="23" s="1"/>
  <c r="E92" i="23"/>
  <c r="G91" i="23"/>
  <c r="H91" i="23" s="1"/>
  <c r="E91" i="23"/>
  <c r="G90" i="23"/>
  <c r="H90" i="23" s="1"/>
  <c r="E90" i="23"/>
  <c r="G89" i="23"/>
  <c r="H89" i="23" s="1"/>
  <c r="E89" i="23"/>
  <c r="G88" i="23"/>
  <c r="H88" i="23" s="1"/>
  <c r="E88" i="23"/>
  <c r="G87" i="23"/>
  <c r="H87" i="23" s="1"/>
  <c r="E87" i="23"/>
  <c r="G86" i="23"/>
  <c r="H86" i="23" s="1"/>
  <c r="E86" i="23"/>
  <c r="G85" i="23"/>
  <c r="H85" i="23" s="1"/>
  <c r="E85" i="23"/>
  <c r="G84" i="23"/>
  <c r="H84" i="23" s="1"/>
  <c r="E84" i="23"/>
  <c r="G83" i="23"/>
  <c r="H83" i="23" s="1"/>
  <c r="E83" i="23"/>
  <c r="H82" i="23"/>
  <c r="E82" i="23"/>
  <c r="G81" i="23"/>
  <c r="H81" i="23" s="1"/>
  <c r="G80" i="23"/>
  <c r="H80" i="23" s="1"/>
  <c r="G79" i="23"/>
  <c r="H79" i="23" s="1"/>
  <c r="G78" i="23"/>
  <c r="H78" i="23" l="1"/>
  <c r="G93" i="23"/>
  <c r="H162" i="23"/>
  <c r="G177" i="23"/>
  <c r="H177" i="23" s="1"/>
  <c r="F157" i="23"/>
  <c r="E93" i="23"/>
  <c r="F94" i="23"/>
  <c r="F136" i="23"/>
  <c r="E177" i="23"/>
  <c r="F178" i="23"/>
  <c r="H93" i="23"/>
  <c r="E135" i="23"/>
  <c r="H136" i="23" s="1"/>
  <c r="E156" i="23"/>
  <c r="H157" i="23" s="1"/>
  <c r="H178" i="23" l="1"/>
  <c r="H94" i="23"/>
  <c r="G43" i="23" l="1"/>
  <c r="H17" i="23"/>
  <c r="H18" i="23"/>
  <c r="H19" i="23"/>
  <c r="G20" i="23"/>
  <c r="H20" i="23" s="1"/>
  <c r="G21" i="23"/>
  <c r="H21" i="23" s="1"/>
  <c r="G22" i="23"/>
  <c r="H22" i="23" s="1"/>
  <c r="G23" i="23"/>
  <c r="H23" i="23" s="1"/>
  <c r="G24" i="23"/>
  <c r="H24" i="23" s="1"/>
  <c r="G25" i="23"/>
  <c r="H25" i="23" s="1"/>
  <c r="G26" i="23"/>
  <c r="H26" i="23" s="1"/>
  <c r="G42" i="23" l="1"/>
  <c r="G40" i="23" l="1"/>
  <c r="G37" i="23" l="1"/>
  <c r="G46" i="23" l="1"/>
  <c r="H37" i="23" l="1"/>
  <c r="E63" i="23"/>
  <c r="E64" i="23"/>
  <c r="E65" i="23"/>
  <c r="E66" i="23"/>
  <c r="E67" i="23"/>
  <c r="E68" i="23"/>
  <c r="E69" i="23"/>
  <c r="E70" i="23"/>
  <c r="E71" i="23"/>
  <c r="E61" i="23"/>
  <c r="F27" i="23"/>
  <c r="C27" i="23" l="1"/>
  <c r="E23" i="23" l="1"/>
  <c r="E24" i="23"/>
  <c r="E25" i="23"/>
  <c r="E26" i="23"/>
  <c r="E19" i="23"/>
  <c r="E20" i="23"/>
  <c r="E21" i="23"/>
  <c r="E22" i="23"/>
  <c r="E8" i="23" l="1"/>
  <c r="E9" i="23"/>
  <c r="G38" i="23" l="1"/>
  <c r="G47" i="23" l="1"/>
  <c r="H47" i="23" s="1"/>
  <c r="G48" i="23"/>
  <c r="H48" i="23" s="1"/>
  <c r="E47" i="23"/>
  <c r="E48" i="23"/>
  <c r="J10" i="28" l="1"/>
  <c r="I10" i="28"/>
  <c r="H10" i="28"/>
  <c r="K10" i="28" l="1"/>
  <c r="J56" i="22" l="1"/>
  <c r="I56" i="22"/>
  <c r="K46" i="22" s="1"/>
  <c r="K56" i="22" s="1"/>
  <c r="K57" i="22" s="1"/>
  <c r="H56" i="22"/>
  <c r="D56" i="22"/>
  <c r="K11" i="28"/>
  <c r="E7" i="23" l="1"/>
  <c r="E35" i="23" l="1"/>
  <c r="E36" i="23"/>
  <c r="J288" i="22" l="1"/>
  <c r="I288" i="22"/>
  <c r="K278" i="22" s="1"/>
  <c r="K288" i="22" s="1"/>
  <c r="H288" i="22"/>
  <c r="D288" i="22"/>
  <c r="K289" i="22" l="1"/>
  <c r="J271" i="22" l="1"/>
  <c r="I271" i="22"/>
  <c r="K261" i="22" s="1"/>
  <c r="K271" i="22" s="1"/>
  <c r="H271" i="22"/>
  <c r="D271" i="22"/>
  <c r="J254" i="22"/>
  <c r="I254" i="22"/>
  <c r="K244" i="22" s="1"/>
  <c r="K254" i="22" s="1"/>
  <c r="H254" i="22"/>
  <c r="D254" i="22"/>
  <c r="J237" i="22"/>
  <c r="I237" i="22"/>
  <c r="K227" i="22" s="1"/>
  <c r="K237" i="22" s="1"/>
  <c r="H237" i="22"/>
  <c r="D237" i="22"/>
  <c r="J221" i="22"/>
  <c r="I221" i="22"/>
  <c r="K211" i="22" s="1"/>
  <c r="K221" i="22" s="1"/>
  <c r="H221" i="22"/>
  <c r="D221" i="22"/>
  <c r="K272" i="22" l="1"/>
  <c r="K255" i="22"/>
  <c r="K238" i="22"/>
  <c r="K222" i="22"/>
  <c r="K90" i="22" l="1"/>
  <c r="K74" i="22"/>
  <c r="D200" i="22"/>
  <c r="D185" i="22"/>
  <c r="D169" i="22"/>
  <c r="D152" i="22"/>
  <c r="D136" i="22"/>
  <c r="D120" i="22"/>
  <c r="D105" i="22"/>
  <c r="D89" i="22"/>
  <c r="D73" i="22"/>
  <c r="D41" i="22"/>
  <c r="D24" i="22"/>
  <c r="I169" i="22"/>
  <c r="K142" i="22"/>
  <c r="I136" i="22"/>
  <c r="K126" i="22" s="1"/>
  <c r="I120" i="22"/>
  <c r="K110" i="22" s="1"/>
  <c r="K79" i="22"/>
  <c r="K63" i="22"/>
  <c r="J200" i="22" l="1"/>
  <c r="I200" i="22"/>
  <c r="K190" i="22" s="1"/>
  <c r="H200" i="22"/>
  <c r="K200" i="22" l="1"/>
  <c r="K201" i="22" s="1"/>
  <c r="I185" i="22" l="1"/>
  <c r="H185" i="22"/>
  <c r="F114" i="23" l="1"/>
  <c r="G114" i="23" s="1"/>
  <c r="H114" i="23" s="1"/>
  <c r="C114" i="23"/>
  <c r="G113" i="23"/>
  <c r="H113" i="23" s="1"/>
  <c r="E113" i="23"/>
  <c r="G112" i="23"/>
  <c r="H112" i="23" s="1"/>
  <c r="E112" i="23"/>
  <c r="G111" i="23"/>
  <c r="H111" i="23" s="1"/>
  <c r="E111" i="23"/>
  <c r="G110" i="23"/>
  <c r="H110" i="23" s="1"/>
  <c r="E110" i="23"/>
  <c r="G109" i="23"/>
  <c r="H109" i="23" s="1"/>
  <c r="E109" i="23"/>
  <c r="G108" i="23"/>
  <c r="H108" i="23" s="1"/>
  <c r="E108" i="23"/>
  <c r="G107" i="23"/>
  <c r="H107" i="23" s="1"/>
  <c r="E107" i="23"/>
  <c r="G106" i="23"/>
  <c r="H106" i="23" s="1"/>
  <c r="E106" i="23"/>
  <c r="H105" i="23"/>
  <c r="E105" i="23"/>
  <c r="G104" i="23"/>
  <c r="H104" i="23" s="1"/>
  <c r="E104" i="23"/>
  <c r="H103" i="23"/>
  <c r="E103" i="23"/>
  <c r="G102" i="23"/>
  <c r="H102" i="23" s="1"/>
  <c r="E102" i="23"/>
  <c r="G101" i="23"/>
  <c r="H101" i="23" s="1"/>
  <c r="E101" i="23"/>
  <c r="G100" i="23"/>
  <c r="H100" i="23" s="1"/>
  <c r="G99" i="23"/>
  <c r="H99" i="23" s="1"/>
  <c r="F72" i="23"/>
  <c r="G72" i="23" s="1"/>
  <c r="H72" i="23" s="1"/>
  <c r="C72" i="23"/>
  <c r="G71" i="23"/>
  <c r="H71" i="23" s="1"/>
  <c r="G70" i="23"/>
  <c r="H70" i="23" s="1"/>
  <c r="G69" i="23"/>
  <c r="H69" i="23" s="1"/>
  <c r="G68" i="23"/>
  <c r="H68" i="23" s="1"/>
  <c r="G67" i="23"/>
  <c r="H67" i="23" s="1"/>
  <c r="G66" i="23"/>
  <c r="H66" i="23" s="1"/>
  <c r="G65" i="23"/>
  <c r="H65" i="23" s="1"/>
  <c r="G64" i="23"/>
  <c r="H64" i="23" s="1"/>
  <c r="G63" i="23"/>
  <c r="H63" i="23" s="1"/>
  <c r="G62" i="23"/>
  <c r="H62" i="23" s="1"/>
  <c r="E62" i="23"/>
  <c r="G61" i="23"/>
  <c r="H61" i="23" s="1"/>
  <c r="G60" i="23"/>
  <c r="H60" i="23" s="1"/>
  <c r="E60" i="23"/>
  <c r="G59" i="23"/>
  <c r="H59" i="23" s="1"/>
  <c r="E59" i="23"/>
  <c r="G58" i="23"/>
  <c r="H58" i="23" s="1"/>
  <c r="G57" i="23"/>
  <c r="H57" i="23" s="1"/>
  <c r="F50" i="23"/>
  <c r="C50" i="23"/>
  <c r="G49" i="23"/>
  <c r="H49" i="23" s="1"/>
  <c r="E49" i="23"/>
  <c r="H46" i="23"/>
  <c r="E46" i="23"/>
  <c r="G45" i="23"/>
  <c r="H45" i="23" s="1"/>
  <c r="E45" i="23"/>
  <c r="G44" i="23"/>
  <c r="H44" i="23" s="1"/>
  <c r="E44" i="23"/>
  <c r="H43" i="23"/>
  <c r="E43" i="23"/>
  <c r="H42" i="23"/>
  <c r="E42" i="23"/>
  <c r="G41" i="23"/>
  <c r="H41" i="23" s="1"/>
  <c r="E41" i="23"/>
  <c r="H40" i="23"/>
  <c r="E40" i="23"/>
  <c r="G39" i="23"/>
  <c r="H39" i="23" s="1"/>
  <c r="E39" i="23"/>
  <c r="H38" i="23"/>
  <c r="E38" i="23"/>
  <c r="E37" i="23"/>
  <c r="G36" i="23"/>
  <c r="H36" i="23" s="1"/>
  <c r="G35" i="23"/>
  <c r="H35" i="23" s="1"/>
  <c r="G34" i="23"/>
  <c r="G33" i="23"/>
  <c r="H33" i="23" s="1"/>
  <c r="E18" i="23"/>
  <c r="E17" i="23"/>
  <c r="H16" i="23"/>
  <c r="E16" i="23"/>
  <c r="H15" i="23"/>
  <c r="E15" i="23"/>
  <c r="H14" i="23"/>
  <c r="E14" i="23"/>
  <c r="H13" i="23"/>
  <c r="E13" i="23"/>
  <c r="H12" i="23"/>
  <c r="E12" i="23"/>
  <c r="H11" i="23"/>
  <c r="E11" i="23"/>
  <c r="H10" i="23"/>
  <c r="E10" i="23"/>
  <c r="H9" i="23"/>
  <c r="H8" i="23"/>
  <c r="G6" i="23"/>
  <c r="H6" i="23" s="1"/>
  <c r="G5" i="23"/>
  <c r="F115" i="23" l="1"/>
  <c r="E27" i="23"/>
  <c r="E50" i="23"/>
  <c r="H5" i="23"/>
  <c r="H34" i="23"/>
  <c r="G50" i="23"/>
  <c r="H50" i="23" s="1"/>
  <c r="E72" i="23"/>
  <c r="H73" i="23" s="1"/>
  <c r="F73" i="23"/>
  <c r="F51" i="23"/>
  <c r="E114" i="23"/>
  <c r="H115" i="23" s="1"/>
  <c r="H51" i="23" l="1"/>
  <c r="J185" i="22"/>
  <c r="K175" i="22" s="1"/>
  <c r="K185" i="22" s="1"/>
  <c r="K186" i="22" s="1"/>
  <c r="I41" i="22" l="1"/>
  <c r="I105" i="22"/>
  <c r="K95" i="22" s="1"/>
  <c r="I73" i="22"/>
  <c r="I89" i="22"/>
  <c r="I24" i="22"/>
  <c r="J169" i="22" l="1"/>
  <c r="K159" i="22" s="1"/>
  <c r="K169" i="22" s="1"/>
  <c r="K170" i="22" s="1"/>
  <c r="H169" i="22"/>
  <c r="J152" i="22"/>
  <c r="H152" i="22"/>
  <c r="K152" i="22" s="1"/>
  <c r="K153" i="22" s="1"/>
  <c r="J136" i="22"/>
  <c r="H136" i="22"/>
  <c r="J120" i="22"/>
  <c r="H120" i="22"/>
  <c r="J105" i="22"/>
  <c r="H105" i="22"/>
  <c r="K105" i="22" s="1"/>
  <c r="K106" i="22" s="1"/>
  <c r="J89" i="22"/>
  <c r="H89" i="22"/>
  <c r="J73" i="22"/>
  <c r="H73" i="22"/>
  <c r="J41" i="22"/>
  <c r="K31" i="22" s="1"/>
  <c r="K41" i="22" s="1"/>
  <c r="K42" i="22" s="1"/>
  <c r="H41" i="22"/>
  <c r="J24" i="22"/>
  <c r="H24" i="22"/>
  <c r="K15" i="22" l="1"/>
  <c r="K24" i="22" s="1"/>
  <c r="K25" i="22" s="1"/>
  <c r="K120" i="22"/>
  <c r="K121" i="22" s="1"/>
  <c r="K136" i="22"/>
  <c r="K137" i="22" s="1"/>
  <c r="K89" i="22"/>
  <c r="K73" i="22"/>
  <c r="G33" i="16"/>
  <c r="J33" i="16"/>
  <c r="E33" i="16"/>
  <c r="D33" i="16"/>
  <c r="J34" i="16" l="1"/>
  <c r="J24" i="16" l="1"/>
  <c r="L246" i="16" l="1"/>
  <c r="K246" i="16"/>
  <c r="H245" i="16"/>
  <c r="G245" i="16"/>
  <c r="I230" i="16"/>
  <c r="I246" i="16" s="1"/>
  <c r="I247" i="16" s="1"/>
  <c r="L222" i="16"/>
  <c r="K222" i="16"/>
  <c r="H221" i="16"/>
  <c r="G221" i="16"/>
  <c r="I206" i="16"/>
  <c r="I222" i="16" s="1"/>
  <c r="I223" i="16" s="1"/>
  <c r="L199" i="16"/>
  <c r="K199" i="16"/>
  <c r="H198" i="16"/>
  <c r="G198" i="16"/>
  <c r="I183" i="16"/>
  <c r="I199" i="16" s="1"/>
  <c r="I200" i="16" s="1"/>
  <c r="L175" i="16"/>
  <c r="K175" i="16"/>
  <c r="H174" i="16"/>
  <c r="G174" i="16"/>
  <c r="I159" i="16"/>
  <c r="I175" i="16" s="1"/>
  <c r="L151" i="16"/>
  <c r="K151" i="16"/>
  <c r="H150" i="16"/>
  <c r="G150" i="16"/>
  <c r="I135" i="16"/>
  <c r="I151" i="16" s="1"/>
  <c r="I152" i="16" s="1"/>
  <c r="L127" i="16"/>
  <c r="K127" i="16"/>
  <c r="H126" i="16"/>
  <c r="G126" i="16"/>
  <c r="I111" i="16"/>
  <c r="I127" i="16" s="1"/>
  <c r="I128" i="16" s="1"/>
  <c r="L102" i="16"/>
  <c r="K102" i="16"/>
  <c r="H101" i="16"/>
  <c r="G101" i="16"/>
  <c r="I86" i="16"/>
  <c r="I102" i="16" s="1"/>
  <c r="I62" i="16"/>
  <c r="L78" i="16"/>
  <c r="K78" i="16"/>
  <c r="L57" i="16"/>
  <c r="K57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41" i="16"/>
  <c r="I176" i="16" l="1"/>
  <c r="I103" i="16"/>
  <c r="H77" i="16" l="1"/>
  <c r="G77" i="16"/>
  <c r="I78" i="16" s="1"/>
  <c r="I79" i="16" s="1"/>
  <c r="H56" i="16" l="1"/>
  <c r="G56" i="16"/>
  <c r="I56" i="16" s="1"/>
  <c r="I57" i="16" s="1"/>
  <c r="D7" i="14" l="1"/>
  <c r="Y38" i="14"/>
  <c r="R38" i="14"/>
  <c r="K38" i="14"/>
  <c r="D38" i="14"/>
  <c r="Y35" i="14"/>
  <c r="R35" i="14"/>
  <c r="K35" i="14"/>
  <c r="D35" i="14"/>
  <c r="AG28" i="14"/>
  <c r="Y28" i="14"/>
  <c r="R28" i="14"/>
  <c r="K28" i="14"/>
  <c r="AG25" i="14"/>
  <c r="Y25" i="14"/>
  <c r="R25" i="14"/>
  <c r="K25" i="14"/>
  <c r="AG18" i="14"/>
  <c r="Y18" i="14"/>
  <c r="R18" i="14"/>
  <c r="K18" i="14"/>
  <c r="AG15" i="14"/>
  <c r="Y15" i="14"/>
  <c r="R15" i="14"/>
  <c r="K15" i="14"/>
  <c r="AG8" i="14"/>
  <c r="Y8" i="14"/>
  <c r="R8" i="14"/>
  <c r="K8" i="14"/>
  <c r="D8" i="14"/>
  <c r="AG5" i="14"/>
  <c r="Y5" i="14"/>
  <c r="R5" i="14"/>
  <c r="K5" i="14"/>
  <c r="R26" i="14" l="1"/>
  <c r="R30" i="14" s="1"/>
  <c r="R31" i="14" s="1"/>
  <c r="D36" i="14"/>
  <c r="D40" i="14" s="1"/>
  <c r="D41" i="14" s="1"/>
  <c r="K16" i="14"/>
  <c r="K20" i="14" s="1"/>
  <c r="K21" i="14" s="1"/>
  <c r="Y7" i="14"/>
  <c r="AG7" i="14"/>
  <c r="Y17" i="14"/>
  <c r="R17" i="14"/>
  <c r="K36" i="14"/>
  <c r="K40" i="14" s="1"/>
  <c r="K41" i="14" s="1"/>
  <c r="Y37" i="14"/>
  <c r="AG27" i="14"/>
  <c r="D6" i="14"/>
  <c r="D10" i="14" s="1"/>
  <c r="D11" i="14" s="1"/>
  <c r="K26" i="14"/>
  <c r="K30" i="14" s="1"/>
  <c r="K31" i="14" s="1"/>
  <c r="R16" i="14" l="1"/>
  <c r="R20" i="14" s="1"/>
  <c r="R21" i="14" s="1"/>
  <c r="R6" i="14"/>
  <c r="R10" i="14" s="1"/>
  <c r="R11" i="14" s="1"/>
  <c r="R27" i="14"/>
  <c r="R36" i="14"/>
  <c r="R40" i="14" s="1"/>
  <c r="R41" i="14" s="1"/>
  <c r="R37" i="14"/>
  <c r="K17" i="14"/>
  <c r="K37" i="14"/>
  <c r="K27" i="14"/>
  <c r="AG17" i="14"/>
  <c r="AG16" i="14"/>
  <c r="AG20" i="14" s="1"/>
  <c r="AG21" i="14" s="1"/>
  <c r="R7" i="14"/>
  <c r="AG26" i="14"/>
  <c r="AG30" i="14" s="1"/>
  <c r="AG31" i="14" s="1"/>
  <c r="D37" i="14"/>
  <c r="Y6" i="14"/>
  <c r="Y10" i="14" s="1"/>
  <c r="Y11" i="14" s="1"/>
  <c r="Y36" i="14"/>
  <c r="Y40" i="14" s="1"/>
  <c r="Y41" i="14" s="1"/>
  <c r="Y27" i="14"/>
  <c r="AG6" i="14"/>
  <c r="AG10" i="14" s="1"/>
  <c r="AG11" i="14" s="1"/>
  <c r="Y16" i="14"/>
  <c r="Y20" i="14" s="1"/>
  <c r="Y21" i="14" s="1"/>
  <c r="Y26" i="14"/>
  <c r="Y30" i="14" s="1"/>
  <c r="Y31" i="14" s="1"/>
  <c r="K7" i="14"/>
  <c r="K6" i="14"/>
  <c r="K10" i="14" s="1"/>
  <c r="K11" i="14" s="1"/>
  <c r="D26" i="14"/>
  <c r="D27" i="14" s="1"/>
  <c r="D16" i="14" l="1"/>
  <c r="D17" i="14" s="1"/>
  <c r="D30" i="14"/>
  <c r="D31" i="14" s="1"/>
  <c r="D20" i="14" l="1"/>
  <c r="D21" i="14" s="1"/>
  <c r="G7" i="23" l="1"/>
  <c r="G27" i="23" s="1"/>
  <c r="H28" i="23" s="1"/>
  <c r="F28" i="23"/>
  <c r="H27" i="23" l="1"/>
  <c r="H7" i="23"/>
</calcChain>
</file>

<file path=xl/sharedStrings.xml><?xml version="1.0" encoding="utf-8"?>
<sst xmlns="http://schemas.openxmlformats.org/spreadsheetml/2006/main" count="1407" uniqueCount="284">
  <si>
    <t>INGRESOS</t>
  </si>
  <si>
    <t>MATERIAL VIRGEN</t>
  </si>
  <si>
    <t>STOCK MINIMO</t>
  </si>
  <si>
    <t>15-Santoprene 64  COD:101-64</t>
  </si>
  <si>
    <t>7-Acetal (AMCEL KP20) M90</t>
  </si>
  <si>
    <t>6-Polietileno COD:8818 MEDIA</t>
  </si>
  <si>
    <t>Tapa</t>
  </si>
  <si>
    <t>Stock minimo</t>
  </si>
  <si>
    <t xml:space="preserve">Litros consumidos </t>
  </si>
  <si>
    <t>LLeno</t>
  </si>
  <si>
    <t>Vacio</t>
  </si>
  <si>
    <t>EN STOCK</t>
  </si>
  <si>
    <t>4-Polipropileno homopolimero  1102K</t>
  </si>
  <si>
    <t>MAXIMO</t>
  </si>
  <si>
    <t>3-Polipropileno COPOLIMERO manija  COD:2630PC</t>
  </si>
  <si>
    <t>5-Poliprolipeno C/ carga ALL816-1</t>
  </si>
  <si>
    <t>8-Acetal (DURACOM 15M6770) M270</t>
  </si>
  <si>
    <t>9-ACETAL NATURAL KOCETAL</t>
  </si>
  <si>
    <t>14-Santoprene 80  COD:201-80</t>
  </si>
  <si>
    <t>STOCK MAXIMO</t>
  </si>
  <si>
    <t xml:space="preserve"> 16- Santoprene 80 - COD:101-80</t>
  </si>
  <si>
    <t>17- Santoprene 64  COD:201-64           Diferente color</t>
  </si>
  <si>
    <t xml:space="preserve">19-  PLASTOMER </t>
  </si>
  <si>
    <t xml:space="preserve">20- A.B.C VIRGEN </t>
  </si>
  <si>
    <t>21- Master Azul</t>
  </si>
  <si>
    <t>22-Master Amarillo</t>
  </si>
  <si>
    <t>23- Master Gris</t>
  </si>
  <si>
    <t>24- Master negro 951</t>
  </si>
  <si>
    <r>
      <t xml:space="preserve"> </t>
    </r>
    <r>
      <rPr>
        <b/>
        <sz val="20"/>
        <color theme="1"/>
        <rFont val="Calibri"/>
        <family val="2"/>
        <scheme val="minor"/>
      </rPr>
      <t>18-Prinz PVC COD: 55-021-NRG001</t>
    </r>
  </si>
  <si>
    <r>
      <rPr>
        <b/>
        <sz val="20"/>
        <color theme="1"/>
        <rFont val="Calibri"/>
        <family val="2"/>
        <scheme val="minor"/>
      </rPr>
      <t xml:space="preserve">28- Acetal KO GF 705 natural            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>(ACETAL CON 25% FIBRA FLUENCIA 705 POM  )</t>
    </r>
  </si>
  <si>
    <r>
      <rPr>
        <b/>
        <sz val="48"/>
        <color theme="0"/>
        <rFont val="Calibri"/>
        <family val="2"/>
        <scheme val="minor"/>
      </rPr>
      <t>GRAFICOS STOCK MATERIA PRIMA</t>
    </r>
    <r>
      <rPr>
        <sz val="72"/>
        <color theme="1"/>
        <rFont val="Calibri"/>
        <family val="2"/>
        <scheme val="minor"/>
      </rPr>
      <t xml:space="preserve">  </t>
    </r>
    <r>
      <rPr>
        <b/>
        <sz val="48"/>
        <color theme="0"/>
        <rFont val="Calibri"/>
        <family val="2"/>
        <scheme val="minor"/>
      </rPr>
      <t>OCTUBRE 2024</t>
    </r>
  </si>
  <si>
    <t xml:space="preserve">FECHA </t>
  </si>
  <si>
    <t>Kg</t>
  </si>
  <si>
    <t>PROVEEDOR</t>
  </si>
  <si>
    <t>REMITO</t>
  </si>
  <si>
    <t xml:space="preserve">PARTIDA O LOTE </t>
  </si>
  <si>
    <t>CERTIFICADO DE CALIDAD</t>
  </si>
  <si>
    <t xml:space="preserve">RECIBIDO POR </t>
  </si>
  <si>
    <t xml:space="preserve">OBSERVACIONES </t>
  </si>
  <si>
    <t xml:space="preserve">Se efectuo control de calidad Fecha </t>
  </si>
  <si>
    <t xml:space="preserve"> laboratorio fecha </t>
  </si>
  <si>
    <t xml:space="preserve">FICHA TECNICA </t>
  </si>
  <si>
    <t xml:space="preserve">19- PLASTOMER </t>
  </si>
  <si>
    <t>21-Master Azul</t>
  </si>
  <si>
    <t>24-Master negro 951</t>
  </si>
  <si>
    <t>117-Molienda Polipropileno con Fibra</t>
  </si>
  <si>
    <t xml:space="preserve">121-Molienda polietileno </t>
  </si>
  <si>
    <t>123-Molienda acetal negro</t>
  </si>
  <si>
    <t>129-Molienda Prinz PVC</t>
  </si>
  <si>
    <t xml:space="preserve">300-DESCARTE Y MOLIENDA DE VALVULAS </t>
  </si>
  <si>
    <t>301-Purga de inyectado</t>
  </si>
  <si>
    <t>N° DE ORDEN DE COMPRA CP</t>
  </si>
  <si>
    <t xml:space="preserve">Codigo del  material del proveedor </t>
  </si>
  <si>
    <t>115-Molienda Polipropieleno de primera</t>
  </si>
  <si>
    <t>116-Molienda Polipropieleno de segunda</t>
  </si>
  <si>
    <t xml:space="preserve">TOTAL </t>
  </si>
  <si>
    <t>Bolson</t>
  </si>
  <si>
    <t xml:space="preserve">Peso inicial </t>
  </si>
  <si>
    <t>Entradas</t>
  </si>
  <si>
    <t>Salidas</t>
  </si>
  <si>
    <t>124- Molienda Acetal de primera</t>
  </si>
  <si>
    <t>Bolson N°</t>
  </si>
  <si>
    <t>BOLSON 8</t>
  </si>
  <si>
    <t xml:space="preserve">fecha </t>
  </si>
  <si>
    <t xml:space="preserve">total </t>
  </si>
  <si>
    <t>31-COPOLIMERO 2240 P</t>
  </si>
  <si>
    <t>5-Poliprolipeno C/ carga ALL 816-1 o 512</t>
  </si>
  <si>
    <t>cantidad armada B</t>
  </si>
  <si>
    <t>si</t>
  </si>
  <si>
    <t>canasto N°</t>
  </si>
  <si>
    <t>peso bolsa al 21/3/2025</t>
  </si>
  <si>
    <t>CODIGO INTERNO</t>
  </si>
  <si>
    <t xml:space="preserve">CODIGO INTERNO </t>
  </si>
  <si>
    <t>lote</t>
  </si>
  <si>
    <t xml:space="preserve">sub total </t>
  </si>
  <si>
    <t>cerrado</t>
  </si>
  <si>
    <t xml:space="preserve">estado </t>
  </si>
  <si>
    <t>M141-Molienda santoprene  101-64</t>
  </si>
  <si>
    <t>133-Molienda Plastome amarillo</t>
  </si>
  <si>
    <t>128-Molienda acetal con carga</t>
  </si>
  <si>
    <t xml:space="preserve"> </t>
  </si>
  <si>
    <t>M169 molienda santoprene 80 (101+201)</t>
  </si>
  <si>
    <t xml:space="preserve">bolsa entera </t>
  </si>
  <si>
    <t xml:space="preserve">peso </t>
  </si>
  <si>
    <t xml:space="preserve">bolsas en stock </t>
  </si>
  <si>
    <t xml:space="preserve">Kg en stock </t>
  </si>
  <si>
    <t xml:space="preserve">peso por bolsa </t>
  </si>
  <si>
    <t xml:space="preserve">bolsa abierta  </t>
  </si>
  <si>
    <t xml:space="preserve">sub totales </t>
  </si>
  <si>
    <t>Bolson N°1</t>
  </si>
  <si>
    <t xml:space="preserve">bolsa </t>
  </si>
  <si>
    <t>canasto</t>
  </si>
  <si>
    <t>total</t>
  </si>
  <si>
    <t xml:space="preserve">total bolson </t>
  </si>
  <si>
    <t>total final</t>
  </si>
  <si>
    <t xml:space="preserve">M157 MOLIENDA PVC CONTAMINADO </t>
  </si>
  <si>
    <t>M164-Molienda COPOLIMERO 2240 P</t>
  </si>
  <si>
    <t xml:space="preserve">131-MOLIENDA DE MANIJA </t>
  </si>
  <si>
    <t xml:space="preserve">subtotales </t>
  </si>
  <si>
    <t xml:space="preserve">TOTAL bolsones </t>
  </si>
  <si>
    <t xml:space="preserve">lote o bolson </t>
  </si>
  <si>
    <t>123- Molienda acetal negro</t>
  </si>
  <si>
    <t>M157 MOLIENDA PVC CONTAMINADO</t>
  </si>
  <si>
    <t>300-DESCARTE Y MOLIENDA DE VALVULAS</t>
  </si>
  <si>
    <t>entrada</t>
  </si>
  <si>
    <t>peso</t>
  </si>
  <si>
    <t>fecha</t>
  </si>
  <si>
    <t>tipo y n°</t>
  </si>
  <si>
    <t xml:space="preserve">Canasto o bolsa </t>
  </si>
  <si>
    <t>C</t>
  </si>
  <si>
    <t>B</t>
  </si>
  <si>
    <t>C1</t>
  </si>
  <si>
    <t xml:space="preserve">PESO BOLSON  </t>
  </si>
  <si>
    <t xml:space="preserve">PESO TOTAL BOLSON MAS CANASTOS </t>
  </si>
  <si>
    <t xml:space="preserve">TOTAL BOSAS Y CANASTOS </t>
  </si>
  <si>
    <t>c</t>
  </si>
  <si>
    <t>b</t>
  </si>
  <si>
    <t>M165 -29-Molienda Laprene COD 02268</t>
  </si>
  <si>
    <t>c1</t>
  </si>
  <si>
    <t>c2</t>
  </si>
  <si>
    <t>c3</t>
  </si>
  <si>
    <t>abierto</t>
  </si>
  <si>
    <t xml:space="preserve">Sobrantes y moliendas </t>
  </si>
  <si>
    <t xml:space="preserve">cantidad entregada por día  </t>
  </si>
  <si>
    <t>Total</t>
  </si>
  <si>
    <t xml:space="preserve">Daniela- Sabrina 28/04/2025 </t>
  </si>
  <si>
    <t>B 1</t>
  </si>
  <si>
    <t>B 3</t>
  </si>
  <si>
    <t>B 4</t>
  </si>
  <si>
    <t>B 5</t>
  </si>
  <si>
    <t>B 6</t>
  </si>
  <si>
    <t>B 7</t>
  </si>
  <si>
    <t>P 1</t>
  </si>
  <si>
    <t>P 2</t>
  </si>
  <si>
    <t>P 3</t>
  </si>
  <si>
    <t>P 4</t>
  </si>
  <si>
    <t>P 5</t>
  </si>
  <si>
    <t>P 6</t>
  </si>
  <si>
    <t>P 7</t>
  </si>
  <si>
    <t>P 8</t>
  </si>
  <si>
    <t>P 9</t>
  </si>
  <si>
    <t>p10</t>
  </si>
  <si>
    <t>p11</t>
  </si>
  <si>
    <t>EGRESOS</t>
  </si>
  <si>
    <t xml:space="preserve">transferencias de Nexa a CP se marcan con </t>
  </si>
  <si>
    <t xml:space="preserve">Transferencias de CP a NEXA se marcan con </t>
  </si>
  <si>
    <t>2240P</t>
  </si>
  <si>
    <t>INDARNYL</t>
  </si>
  <si>
    <t>0176/2026</t>
  </si>
  <si>
    <t>DANIELA</t>
  </si>
  <si>
    <t>-</t>
  </si>
  <si>
    <t>B3-Master Blanco</t>
  </si>
  <si>
    <t>P3-Master Blanco</t>
  </si>
  <si>
    <t>P9-Master Naranja 1100406</t>
  </si>
  <si>
    <t>P2 Master Gris Claro 991010</t>
  </si>
  <si>
    <t>P5- Master Amarillo1303342</t>
  </si>
  <si>
    <t>P1-Master Gris Oscuro 991700</t>
  </si>
  <si>
    <t>P11-Master celeste  961150</t>
  </si>
  <si>
    <t>P6- Master Verde 1704673</t>
  </si>
  <si>
    <t>B7-Master Rojo 100319</t>
  </si>
  <si>
    <t>B4-Master Azul oscuro 100954</t>
  </si>
  <si>
    <t>B1-Master Gris Oscuro 105808</t>
  </si>
  <si>
    <t>B11-Master celeste 112228</t>
  </si>
  <si>
    <t>B6- Master Verde 113227</t>
  </si>
  <si>
    <t>B5- Master Amarillo 114247</t>
  </si>
  <si>
    <t>401- molienda p.rejillas (c-31)</t>
  </si>
  <si>
    <t>400-molienda mezcla de pisos(prueba)</t>
  </si>
  <si>
    <t>400- molienda de pisos (prueba)</t>
  </si>
  <si>
    <t>BERMA</t>
  </si>
  <si>
    <t>055/2026D</t>
  </si>
  <si>
    <t>L1664F270426</t>
  </si>
  <si>
    <t xml:space="preserve">402- sobrante polipropileno Copolimero 2630p </t>
  </si>
  <si>
    <t>403- sobrante polipropileno Copolimero 2240p</t>
  </si>
  <si>
    <t xml:space="preserve">404- sobante plastomer </t>
  </si>
  <si>
    <t>405- sobrante  polipropileno homopolimero</t>
  </si>
  <si>
    <t xml:space="preserve">04- polipropileno homopolimero </t>
  </si>
  <si>
    <t>3-Polipropileno COPOLIMERO   COD:2630PC</t>
  </si>
  <si>
    <t>B10-Master Gris Oscuro nor 108900 (gris claro catalogo)</t>
  </si>
  <si>
    <t>40-polipropileno copolimero kunlun</t>
  </si>
  <si>
    <t>41-polipropileno copolimero  sinopec</t>
  </si>
  <si>
    <t xml:space="preserve">39-Polipropileno homopolimero esencia </t>
  </si>
  <si>
    <t>38-compuesto PE AD SN</t>
  </si>
  <si>
    <t>daniela</t>
  </si>
  <si>
    <t>2630pc</t>
  </si>
  <si>
    <t>0186/2026</t>
  </si>
  <si>
    <t>2240p</t>
  </si>
  <si>
    <t>material de prueba</t>
  </si>
  <si>
    <t>PC000002</t>
  </si>
  <si>
    <t>PC000003</t>
  </si>
  <si>
    <t>SKP00004</t>
  </si>
  <si>
    <t>406-Sobante polipropileno homopolimero esencia</t>
  </si>
  <si>
    <t>407- sobrante homopolimero esencia c M/ AZUL</t>
  </si>
  <si>
    <t>exact5371</t>
  </si>
  <si>
    <t>simko</t>
  </si>
  <si>
    <t>0058/2026</t>
  </si>
  <si>
    <t>1021-00056192</t>
  </si>
  <si>
    <t>simko007</t>
  </si>
  <si>
    <t>Eduardo Gonzalez</t>
  </si>
  <si>
    <t>408-sobrante plastomer y copolimero 2630pc c/ gris oscuro nordico</t>
  </si>
  <si>
    <t>A6</t>
  </si>
  <si>
    <t>A6-MASTER VERDE 4170</t>
  </si>
  <si>
    <t>A4</t>
  </si>
  <si>
    <t>A4-MASTER AZUL OSCURO 3351</t>
  </si>
  <si>
    <t>A12</t>
  </si>
  <si>
    <t>A13-MASTER OBISPO 3119</t>
  </si>
  <si>
    <t>A12-MASTER VIOLETA 3353</t>
  </si>
  <si>
    <t>A13</t>
  </si>
  <si>
    <t>A14-MASTER YUTE 4101</t>
  </si>
  <si>
    <t>P7-Master Rojo1501925</t>
  </si>
  <si>
    <t>P10-Master negro991333</t>
  </si>
  <si>
    <t>P4-Master Azul oscuro 961515</t>
  </si>
  <si>
    <t>P8-Master Azul claro am 068</t>
  </si>
  <si>
    <t>0191/2026</t>
  </si>
  <si>
    <t>pc000010</t>
  </si>
  <si>
    <t>pc000009</t>
  </si>
  <si>
    <t>pc000008</t>
  </si>
  <si>
    <t>B10-Master Gris Oscuro nordico 108900 (gris claro catalogo)</t>
  </si>
  <si>
    <t>Alejandro R.</t>
  </si>
  <si>
    <t>SOBRANTE X DIFERENCIA DE BALANSA</t>
  </si>
  <si>
    <t>A9</t>
  </si>
  <si>
    <t>A3- Master blanco 7500</t>
  </si>
  <si>
    <t>A4- Master Azul 3351</t>
  </si>
  <si>
    <t>A6-Master Verde 4170</t>
  </si>
  <si>
    <t>A9-Master naranja 7363</t>
  </si>
  <si>
    <t>A14- Master Yute 4101</t>
  </si>
  <si>
    <t>A13- master obispo</t>
  </si>
  <si>
    <t>ARCOLOR</t>
  </si>
  <si>
    <t>409-sobrante compuesto PE AD SN</t>
  </si>
  <si>
    <t>0193/2026</t>
  </si>
  <si>
    <t>PC000011</t>
  </si>
  <si>
    <t>B16</t>
  </si>
  <si>
    <t>0195/2026</t>
  </si>
  <si>
    <t>pc000013</t>
  </si>
  <si>
    <t>410-Molienda P- ciego c03+c19</t>
  </si>
  <si>
    <t>tacho</t>
  </si>
  <si>
    <t>A5- Master Amarillo 7228</t>
  </si>
  <si>
    <t>B10</t>
  </si>
  <si>
    <t>B11</t>
  </si>
  <si>
    <t xml:space="preserve">B5- Master Amarillo 114247 </t>
  </si>
  <si>
    <t>A5</t>
  </si>
  <si>
    <t>Se reemplaza con A5</t>
  </si>
  <si>
    <t>se utiliza para limpieza en evaluacion de cambio</t>
  </si>
  <si>
    <t xml:space="preserve">comentarios </t>
  </si>
  <si>
    <t>B6-fucsia</t>
  </si>
  <si>
    <t>P15-master perlado 020</t>
  </si>
  <si>
    <t>P15</t>
  </si>
  <si>
    <t>Materiales de muestra o alternativos</t>
  </si>
  <si>
    <t>17F</t>
  </si>
  <si>
    <t xml:space="preserve">Observaciones </t>
  </si>
  <si>
    <t>INGRESOS DE MATERIA PRIMA</t>
  </si>
  <si>
    <t>EGRESOS DE MATERIA PRIMA</t>
  </si>
  <si>
    <t>STOCK AL 04/08/2026</t>
  </si>
  <si>
    <t xml:space="preserve">DIFERENCIA DE STOCK </t>
  </si>
  <si>
    <t>AGRGADOS</t>
  </si>
  <si>
    <t>ESTADO</t>
  </si>
  <si>
    <t>COMPRAS EN PROCESA</t>
  </si>
  <si>
    <t>CUADRO DE MASTERS NORMALIZADOS PARA EL CATALOGO (Proveedor y codigo )</t>
  </si>
  <si>
    <t xml:space="preserve">COLORES Y PROVEEDORES ELEJIDOS </t>
  </si>
  <si>
    <t>Negro</t>
  </si>
  <si>
    <t>24B-Master negro 951</t>
  </si>
  <si>
    <t>B10-Master Gris Claro (gris Oscuro nordico 108900)</t>
  </si>
  <si>
    <t>21B-Master Azul</t>
  </si>
  <si>
    <t>A5Master amarillo 7228</t>
  </si>
  <si>
    <t xml:space="preserve">BERMA </t>
  </si>
  <si>
    <t>ARCOLOR V-O</t>
  </si>
  <si>
    <t>YUTE</t>
  </si>
  <si>
    <t>A3</t>
  </si>
  <si>
    <t>A3-MASTER BLANCO 7500</t>
  </si>
  <si>
    <t>A14</t>
  </si>
  <si>
    <t>40- Polipropileno copolimero kunlun</t>
  </si>
  <si>
    <t>0198/2026</t>
  </si>
  <si>
    <t>pc000014</t>
  </si>
  <si>
    <t>diferencia de peso po armada d bolsitas</t>
  </si>
  <si>
    <t>0197/2026-199/2026</t>
  </si>
  <si>
    <t>197/2026</t>
  </si>
  <si>
    <t>011-00046271</t>
  </si>
  <si>
    <t>Stock materia prima agosto 2026</t>
  </si>
  <si>
    <t>FISICO AL 07/08/2026</t>
  </si>
  <si>
    <t>0066/2026d</t>
  </si>
  <si>
    <t>064/2026d</t>
  </si>
  <si>
    <t>0104-000144887</t>
  </si>
  <si>
    <t>0104-00014496</t>
  </si>
  <si>
    <t>A5-MASTER AMARILLO 7228</t>
  </si>
  <si>
    <t>STOCK A FECHA  11/08/2026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</si>
</sst>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_ ;\-0.000\ "/>
  </numFmts>
  <fonts count="2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D35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9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0" xfId="0" applyBorder="1"/>
    <xf numFmtId="165" fontId="0" fillId="0" borderId="3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1" xfId="0" applyNumberFormat="1" applyFill="1" applyBorder="1"/>
    <xf numFmtId="0" fontId="2" fillId="0" borderId="1" xfId="0" applyFont="1" applyFill="1" applyBorder="1" applyAlignment="1">
      <alignment horizontal="center" vertical="center"/>
    </xf>
    <xf numFmtId="9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9" fillId="0" borderId="2" xfId="0" applyFont="1" applyBorder="1"/>
    <xf numFmtId="1" fontId="9" fillId="0" borderId="20" xfId="0" applyNumberFormat="1" applyFont="1" applyBorder="1"/>
    <xf numFmtId="9" fontId="9" fillId="0" borderId="20" xfId="0" applyNumberFormat="1" applyFont="1" applyBorder="1"/>
    <xf numFmtId="0" fontId="9" fillId="0" borderId="2" xfId="0" applyFont="1" applyFill="1" applyBorder="1"/>
    <xf numFmtId="9" fontId="9" fillId="0" borderId="20" xfId="1" applyFont="1" applyBorder="1"/>
    <xf numFmtId="0" fontId="9" fillId="0" borderId="9" xfId="0" applyFont="1" applyFill="1" applyBorder="1"/>
    <xf numFmtId="9" fontId="9" fillId="0" borderId="21" xfId="0" applyNumberFormat="1" applyFont="1" applyBorder="1"/>
    <xf numFmtId="0" fontId="9" fillId="6" borderId="2" xfId="0" applyFont="1" applyFill="1" applyBorder="1"/>
    <xf numFmtId="0" fontId="9" fillId="6" borderId="20" xfId="0" applyFont="1" applyFill="1" applyBorder="1"/>
    <xf numFmtId="0" fontId="9" fillId="3" borderId="6" xfId="0" applyFont="1" applyFill="1" applyBorder="1"/>
    <xf numFmtId="1" fontId="9" fillId="3" borderId="19" xfId="0" applyNumberFormat="1" applyFont="1" applyFill="1" applyBorder="1"/>
    <xf numFmtId="1" fontId="6" fillId="0" borderId="1" xfId="0" applyNumberFormat="1" applyFont="1" applyFill="1" applyBorder="1" applyAlignment="1">
      <alignment horizontal="center"/>
    </xf>
    <xf numFmtId="1" fontId="10" fillId="0" borderId="1" xfId="0" applyNumberFormat="1" applyFont="1" applyFill="1" applyBorder="1" applyAlignment="1">
      <alignment horizontal="right"/>
    </xf>
    <xf numFmtId="1" fontId="9" fillId="6" borderId="20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/>
    </xf>
    <xf numFmtId="0" fontId="0" fillId="0" borderId="17" xfId="0" applyFill="1" applyBorder="1"/>
    <xf numFmtId="164" fontId="0" fillId="0" borderId="1" xfId="0" applyNumberFormat="1" applyBorder="1"/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23" xfId="0" applyBorder="1"/>
    <xf numFmtId="0" fontId="0" fillId="0" borderId="8" xfId="0" applyFill="1" applyBorder="1"/>
    <xf numFmtId="14" fontId="0" fillId="0" borderId="1" xfId="0" applyNumberFormat="1" applyBorder="1"/>
    <xf numFmtId="0" fontId="0" fillId="2" borderId="3" xfId="0" applyFill="1" applyBorder="1"/>
    <xf numFmtId="164" fontId="0" fillId="0" borderId="3" xfId="0" applyNumberFormat="1" applyBorder="1"/>
    <xf numFmtId="164" fontId="0" fillId="8" borderId="1" xfId="0" applyNumberFormat="1" applyFill="1" applyBorder="1"/>
    <xf numFmtId="0" fontId="0" fillId="9" borderId="1" xfId="0" applyFill="1" applyBorder="1"/>
    <xf numFmtId="164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" fontId="6" fillId="0" borderId="17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11" fillId="0" borderId="1" xfId="0" applyNumberFormat="1" applyFont="1" applyFill="1" applyBorder="1" applyAlignment="1">
      <alignment horizontal="center"/>
    </xf>
    <xf numFmtId="1" fontId="11" fillId="0" borderId="17" xfId="0" applyNumberFormat="1" applyFont="1" applyFill="1" applyBorder="1" applyAlignment="1">
      <alignment horizontal="center"/>
    </xf>
    <xf numFmtId="0" fontId="11" fillId="0" borderId="17" xfId="0" applyFont="1" applyFill="1" applyBorder="1"/>
    <xf numFmtId="0" fontId="2" fillId="0" borderId="5" xfId="0" applyFont="1" applyFill="1" applyBorder="1" applyAlignment="1">
      <alignment horizontal="center" vertical="center" wrapText="1"/>
    </xf>
    <xf numFmtId="164" fontId="0" fillId="0" borderId="16" xfId="0" applyNumberFormat="1" applyBorder="1"/>
    <xf numFmtId="164" fontId="0" fillId="0" borderId="0" xfId="0" applyNumberFormat="1" applyFill="1" applyBorder="1"/>
    <xf numFmtId="164" fontId="0" fillId="0" borderId="0" xfId="0" applyNumberFormat="1" applyBorder="1"/>
    <xf numFmtId="14" fontId="0" fillId="8" borderId="1" xfId="0" applyNumberFormat="1" applyFill="1" applyBorder="1"/>
    <xf numFmtId="14" fontId="0" fillId="7" borderId="1" xfId="0" applyNumberFormat="1" applyFill="1" applyBorder="1"/>
    <xf numFmtId="164" fontId="0" fillId="7" borderId="1" xfId="0" applyNumberFormat="1" applyFill="1" applyBorder="1"/>
    <xf numFmtId="0" fontId="0" fillId="8" borderId="0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0" borderId="23" xfId="0" applyFill="1" applyBorder="1"/>
    <xf numFmtId="0" fontId="0" fillId="8" borderId="23" xfId="0" applyFill="1" applyBorder="1"/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2" fontId="0" fillId="2" borderId="1" xfId="0" applyNumberFormat="1" applyFill="1" applyBorder="1"/>
    <xf numFmtId="164" fontId="0" fillId="0" borderId="27" xfId="0" applyNumberFormat="1" applyBorder="1"/>
    <xf numFmtId="164" fontId="0" fillId="0" borderId="25" xfId="0" applyNumberFormat="1" applyBorder="1"/>
    <xf numFmtId="164" fontId="0" fillId="0" borderId="27" xfId="0" applyNumberFormat="1" applyFill="1" applyBorder="1"/>
    <xf numFmtId="0" fontId="0" fillId="2" borderId="1" xfId="0" applyFill="1" applyBorder="1"/>
    <xf numFmtId="0" fontId="0" fillId="4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0" fontId="0" fillId="4" borderId="0" xfId="0" applyFill="1" applyBorder="1"/>
    <xf numFmtId="0" fontId="0" fillId="4" borderId="1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1" xfId="0" applyFill="1" applyBorder="1" applyAlignment="1"/>
    <xf numFmtId="0" fontId="0" fillId="4" borderId="1" xfId="0" applyFill="1" applyBorder="1"/>
    <xf numFmtId="0" fontId="0" fillId="4" borderId="23" xfId="0" applyFill="1" applyBorder="1"/>
    <xf numFmtId="14" fontId="0" fillId="4" borderId="23" xfId="0" applyNumberFormat="1" applyFill="1" applyBorder="1"/>
    <xf numFmtId="164" fontId="0" fillId="4" borderId="1" xfId="0" applyNumberFormat="1" applyFill="1" applyBorder="1"/>
    <xf numFmtId="164" fontId="0" fillId="4" borderId="1" xfId="0" applyNumberFormat="1" applyFill="1" applyBorder="1" applyAlignment="1"/>
    <xf numFmtId="14" fontId="0" fillId="4" borderId="1" xfId="0" applyNumberFormat="1" applyFill="1" applyBorder="1"/>
    <xf numFmtId="0" fontId="0" fillId="4" borderId="8" xfId="0" applyFill="1" applyBorder="1"/>
    <xf numFmtId="0" fontId="0" fillId="4" borderId="0" xfId="0" applyFill="1"/>
    <xf numFmtId="164" fontId="0" fillId="4" borderId="12" xfId="0" applyNumberFormat="1" applyFill="1" applyBorder="1"/>
    <xf numFmtId="0" fontId="0" fillId="4" borderId="24" xfId="0" applyFill="1" applyBorder="1" applyAlignment="1"/>
    <xf numFmtId="0" fontId="0" fillId="4" borderId="12" xfId="0" applyFill="1" applyBorder="1" applyAlignment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4" fontId="0" fillId="4" borderId="1" xfId="0" applyNumberFormat="1" applyFill="1" applyBorder="1" applyAlignment="1">
      <alignment vertical="center"/>
    </xf>
    <xf numFmtId="164" fontId="0" fillId="9" borderId="1" xfId="0" applyNumberFormat="1" applyFill="1" applyBorder="1"/>
    <xf numFmtId="164" fontId="0" fillId="8" borderId="23" xfId="0" applyNumberFormat="1" applyFill="1" applyBorder="1"/>
    <xf numFmtId="164" fontId="0" fillId="8" borderId="0" xfId="0" applyNumberFormat="1" applyFill="1" applyBorder="1"/>
    <xf numFmtId="0" fontId="0" fillId="0" borderId="22" xfId="0" applyFill="1" applyBorder="1" applyAlignment="1">
      <alignment horizontal="center" vertical="center"/>
    </xf>
    <xf numFmtId="0" fontId="0" fillId="9" borderId="22" xfId="0" applyFill="1" applyBorder="1"/>
    <xf numFmtId="0" fontId="0" fillId="0" borderId="8" xfId="0" applyFill="1" applyBorder="1" applyAlignment="1">
      <alignment horizontal="center" vertical="center"/>
    </xf>
    <xf numFmtId="0" fontId="0" fillId="0" borderId="12" xfId="0" applyBorder="1"/>
    <xf numFmtId="0" fontId="0" fillId="0" borderId="22" xfId="0" applyBorder="1" applyAlignment="1">
      <alignment horizontal="center"/>
    </xf>
    <xf numFmtId="0" fontId="0" fillId="8" borderId="22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2" xfId="0" applyFill="1" applyBorder="1"/>
    <xf numFmtId="0" fontId="0" fillId="10" borderId="1" xfId="0" applyFill="1" applyBorder="1"/>
    <xf numFmtId="0" fontId="0" fillId="0" borderId="3" xfId="0" applyFill="1" applyBorder="1"/>
    <xf numFmtId="0" fontId="0" fillId="0" borderId="1" xfId="0" applyFill="1" applyBorder="1" applyAlignment="1">
      <alignment horizontal="left" vertical="center" wrapText="1"/>
    </xf>
    <xf numFmtId="0" fontId="0" fillId="7" borderId="1" xfId="0" applyFill="1" applyBorder="1"/>
    <xf numFmtId="14" fontId="0" fillId="0" borderId="1" xfId="0" applyNumberFormat="1" applyFill="1" applyBorder="1"/>
    <xf numFmtId="164" fontId="0" fillId="10" borderId="1" xfId="0" applyNumberFormat="1" applyFill="1" applyBorder="1"/>
    <xf numFmtId="164" fontId="0" fillId="0" borderId="3" xfId="0" applyNumberFormat="1" applyFill="1" applyBorder="1"/>
    <xf numFmtId="1" fontId="11" fillId="0" borderId="3" xfId="0" applyNumberFormat="1" applyFont="1" applyFill="1" applyBorder="1" applyAlignment="1">
      <alignment horizontal="center"/>
    </xf>
    <xf numFmtId="1" fontId="11" fillId="0" borderId="16" xfId="0" applyNumberFormat="1" applyFont="1" applyFill="1" applyBorder="1" applyAlignment="1">
      <alignment horizontal="center"/>
    </xf>
    <xf numFmtId="0" fontId="11" fillId="0" borderId="16" xfId="0" applyFont="1" applyFill="1" applyBorder="1"/>
    <xf numFmtId="1" fontId="7" fillId="4" borderId="33" xfId="0" applyNumberFormat="1" applyFont="1" applyFill="1" applyBorder="1" applyAlignment="1">
      <alignment horizontal="center"/>
    </xf>
    <xf numFmtId="14" fontId="0" fillId="9" borderId="27" xfId="0" applyNumberFormat="1" applyFill="1" applyBorder="1"/>
    <xf numFmtId="164" fontId="0" fillId="9" borderId="26" xfId="0" applyNumberFormat="1" applyFill="1" applyBorder="1"/>
    <xf numFmtId="164" fontId="0" fillId="9" borderId="25" xfId="0" applyNumberFormat="1" applyFill="1" applyBorder="1"/>
    <xf numFmtId="14" fontId="0" fillId="9" borderId="1" xfId="0" applyNumberFormat="1" applyFill="1" applyBorder="1"/>
    <xf numFmtId="0" fontId="0" fillId="0" borderId="22" xfId="0" applyBorder="1" applyAlignment="1">
      <alignment horizontal="center"/>
    </xf>
    <xf numFmtId="14" fontId="0" fillId="2" borderId="1" xfId="0" applyNumberFormat="1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2" xfId="0" applyFill="1" applyBorder="1"/>
    <xf numFmtId="14" fontId="0" fillId="2" borderId="1" xfId="0" applyNumberFormat="1" applyFill="1" applyBorder="1"/>
    <xf numFmtId="0" fontId="0" fillId="2" borderId="1" xfId="0" applyFill="1" applyBorder="1" applyAlignment="1">
      <alignment vertical="center"/>
    </xf>
    <xf numFmtId="0" fontId="0" fillId="2" borderId="22" xfId="0" applyFill="1" applyBorder="1" applyAlignment="1">
      <alignment horizontal="center"/>
    </xf>
    <xf numFmtId="2" fontId="0" fillId="0" borderId="0" xfId="0" applyNumberFormat="1"/>
    <xf numFmtId="165" fontId="6" fillId="0" borderId="3" xfId="0" applyNumberFormat="1" applyFont="1" applyFill="1" applyBorder="1" applyAlignment="1">
      <alignment horizontal="center"/>
    </xf>
    <xf numFmtId="1" fontId="2" fillId="0" borderId="8" xfId="0" applyNumberFormat="1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" fontId="7" fillId="4" borderId="34" xfId="0" applyNumberFormat="1" applyFont="1" applyFill="1" applyBorder="1" applyAlignment="1">
      <alignment horizontal="center"/>
    </xf>
    <xf numFmtId="1" fontId="6" fillId="0" borderId="3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/>
    </xf>
    <xf numFmtId="1" fontId="6" fillId="0" borderId="15" xfId="0" applyNumberFormat="1" applyFont="1" applyFill="1" applyBorder="1" applyAlignment="1">
      <alignment horizontal="center"/>
    </xf>
    <xf numFmtId="0" fontId="0" fillId="0" borderId="15" xfId="0" applyFill="1" applyBorder="1"/>
    <xf numFmtId="165" fontId="6" fillId="0" borderId="1" xfId="0" applyNumberFormat="1" applyFont="1" applyFill="1" applyBorder="1" applyAlignment="1">
      <alignment horizontal="center"/>
    </xf>
    <xf numFmtId="0" fontId="2" fillId="12" borderId="36" xfId="0" applyFont="1" applyFill="1" applyBorder="1" applyAlignment="1">
      <alignment horizontal="center" vertical="center" wrapText="1"/>
    </xf>
    <xf numFmtId="0" fontId="0" fillId="13" borderId="13" xfId="0" applyFill="1" applyBorder="1"/>
    <xf numFmtId="0" fontId="1" fillId="0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1" fontId="2" fillId="0" borderId="1" xfId="0" applyNumberFormat="1" applyFont="1" applyFill="1" applyBorder="1" applyAlignment="1">
      <alignment horizontal="center" wrapText="1"/>
    </xf>
    <xf numFmtId="0" fontId="16" fillId="4" borderId="1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14" fontId="2" fillId="5" borderId="11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14" fontId="2" fillId="5" borderId="13" xfId="0" applyNumberFormat="1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wrapText="1"/>
    </xf>
    <xf numFmtId="0" fontId="17" fillId="4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8" fillId="0" borderId="1" xfId="0" applyFont="1" applyFill="1" applyBorder="1"/>
    <xf numFmtId="0" fontId="2" fillId="4" borderId="8" xfId="0" applyFont="1" applyFill="1" applyBorder="1" applyAlignment="1">
      <alignment horizontal="center" vertical="center"/>
    </xf>
    <xf numFmtId="0" fontId="0" fillId="0" borderId="8" xfId="0" applyBorder="1"/>
    <xf numFmtId="164" fontId="0" fillId="12" borderId="25" xfId="0" applyNumberFormat="1" applyFill="1" applyBorder="1"/>
    <xf numFmtId="1" fontId="0" fillId="0" borderId="1" xfId="0" applyNumberFormat="1" applyBorder="1"/>
    <xf numFmtId="164" fontId="0" fillId="0" borderId="17" xfId="0" applyNumberFormat="1" applyBorder="1"/>
    <xf numFmtId="16" fontId="0" fillId="0" borderId="16" xfId="0" applyNumberFormat="1" applyFill="1" applyBorder="1"/>
    <xf numFmtId="0" fontId="0" fillId="0" borderId="37" xfId="0" applyFill="1" applyBorder="1"/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164" fontId="0" fillId="0" borderId="8" xfId="0" applyNumberFormat="1" applyFill="1" applyBorder="1"/>
    <xf numFmtId="0" fontId="0" fillId="0" borderId="22" xfId="0" applyBorder="1"/>
    <xf numFmtId="0" fontId="0" fillId="0" borderId="22" xfId="0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vertical="center"/>
    </xf>
    <xf numFmtId="0" fontId="6" fillId="0" borderId="1" xfId="0" applyFont="1" applyFill="1" applyBorder="1"/>
    <xf numFmtId="164" fontId="6" fillId="0" borderId="3" xfId="0" applyNumberFormat="1" applyFont="1" applyFill="1" applyBorder="1" applyAlignment="1">
      <alignment horizontal="center"/>
    </xf>
    <xf numFmtId="0" fontId="6" fillId="2" borderId="1" xfId="0" applyFont="1" applyFill="1" applyBorder="1"/>
    <xf numFmtId="1" fontId="6" fillId="2" borderId="1" xfId="0" applyNumberFormat="1" applyFont="1" applyFill="1" applyBorder="1" applyAlignment="1">
      <alignment horizontal="center"/>
    </xf>
    <xf numFmtId="0" fontId="6" fillId="2" borderId="3" xfId="0" applyFont="1" applyFill="1" applyBorder="1"/>
    <xf numFmtId="1" fontId="6" fillId="2" borderId="3" xfId="0" applyNumberFormat="1" applyFont="1" applyFill="1" applyBorder="1" applyAlignment="1">
      <alignment horizontal="center"/>
    </xf>
    <xf numFmtId="164" fontId="0" fillId="2" borderId="3" xfId="0" applyNumberFormat="1" applyFill="1" applyBorder="1"/>
    <xf numFmtId="0" fontId="0" fillId="2" borderId="8" xfId="0" applyFill="1" applyBorder="1"/>
    <xf numFmtId="1" fontId="6" fillId="4" borderId="3" xfId="0" applyNumberFormat="1" applyFont="1" applyFill="1" applyBorder="1" applyAlignment="1">
      <alignment horizontal="center"/>
    </xf>
    <xf numFmtId="164" fontId="0" fillId="4" borderId="3" xfId="0" applyNumberFormat="1" applyFill="1" applyBorder="1"/>
    <xf numFmtId="0" fontId="2" fillId="4" borderId="1" xfId="0" applyFont="1" applyFill="1" applyBorder="1" applyAlignment="1">
      <alignment vertical="center"/>
    </xf>
    <xf numFmtId="0" fontId="2" fillId="4" borderId="36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164" fontId="0" fillId="0" borderId="17" xfId="0" applyNumberFormat="1" applyFill="1" applyBorder="1"/>
    <xf numFmtId="164" fontId="0" fillId="0" borderId="15" xfId="0" applyNumberFormat="1" applyFill="1" applyBorder="1"/>
    <xf numFmtId="0" fontId="0" fillId="4" borderId="3" xfId="0" applyFill="1" applyBorder="1"/>
    <xf numFmtId="164" fontId="0" fillId="0" borderId="16" xfId="0" applyNumberFormat="1" applyFill="1" applyBorder="1"/>
    <xf numFmtId="0" fontId="1" fillId="0" borderId="1" xfId="0" applyFont="1" applyFill="1" applyBorder="1" applyAlignment="1">
      <alignment horizontal="center"/>
    </xf>
    <xf numFmtId="0" fontId="0" fillId="13" borderId="1" xfId="0" applyFill="1" applyBorder="1"/>
    <xf numFmtId="0" fontId="4" fillId="5" borderId="1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/>
    </xf>
    <xf numFmtId="164" fontId="0" fillId="9" borderId="3" xfId="0" applyNumberFormat="1" applyFill="1" applyBorder="1" applyAlignment="1">
      <alignment horizontal="center"/>
    </xf>
    <xf numFmtId="165" fontId="0" fillId="9" borderId="3" xfId="0" applyNumberFormat="1" applyFill="1" applyBorder="1" applyAlignment="1">
      <alignment horizontal="center"/>
    </xf>
    <xf numFmtId="165" fontId="6" fillId="9" borderId="3" xfId="0" applyNumberFormat="1" applyFont="1" applyFill="1" applyBorder="1" applyAlignment="1">
      <alignment horizontal="center"/>
    </xf>
    <xf numFmtId="164" fontId="2" fillId="9" borderId="8" xfId="0" applyNumberFormat="1" applyFont="1" applyFill="1" applyBorder="1" applyAlignment="1">
      <alignment horizontal="center" wrapText="1"/>
    </xf>
    <xf numFmtId="1" fontId="2" fillId="9" borderId="8" xfId="0" applyNumberFormat="1" applyFont="1" applyFill="1" applyBorder="1" applyAlignment="1">
      <alignment horizontal="center" wrapText="1"/>
    </xf>
    <xf numFmtId="0" fontId="0" fillId="9" borderId="8" xfId="0" applyFill="1" applyBorder="1"/>
    <xf numFmtId="0" fontId="0" fillId="19" borderId="2" xfId="0" applyFont="1" applyFill="1" applyBorder="1" applyAlignment="1">
      <alignment horizontal="center" vertical="center"/>
    </xf>
    <xf numFmtId="0" fontId="0" fillId="18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20" borderId="2" xfId="0" applyFont="1" applyFill="1" applyBorder="1" applyAlignment="1">
      <alignment horizontal="center" vertical="center"/>
    </xf>
    <xf numFmtId="0" fontId="0" fillId="14" borderId="2" xfId="0" applyFont="1" applyFill="1" applyBorder="1" applyAlignment="1">
      <alignment horizontal="center" vertical="center"/>
    </xf>
    <xf numFmtId="0" fontId="0" fillId="21" borderId="2" xfId="0" applyFont="1" applyFill="1" applyBorder="1" applyAlignment="1">
      <alignment horizontal="center" vertical="center"/>
    </xf>
    <xf numFmtId="0" fontId="0" fillId="22" borderId="2" xfId="0" applyFont="1" applyFill="1" applyBorder="1" applyAlignment="1">
      <alignment horizontal="center" vertical="center"/>
    </xf>
    <xf numFmtId="0" fontId="0" fillId="23" borderId="2" xfId="0" applyFont="1" applyFill="1" applyBorder="1" applyAlignment="1">
      <alignment horizontal="center" vertical="center"/>
    </xf>
    <xf numFmtId="0" fontId="0" fillId="24" borderId="2" xfId="0" applyFont="1" applyFill="1" applyBorder="1"/>
    <xf numFmtId="0" fontId="0" fillId="17" borderId="2" xfId="0" applyFont="1" applyFill="1" applyBorder="1" applyAlignment="1">
      <alignment horizontal="center" vertical="center"/>
    </xf>
    <xf numFmtId="0" fontId="0" fillId="25" borderId="2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0" fillId="0" borderId="40" xfId="0" applyBorder="1"/>
    <xf numFmtId="14" fontId="0" fillId="0" borderId="10" xfId="0" applyNumberFormat="1" applyBorder="1" applyAlignment="1">
      <alignment horizontal="left"/>
    </xf>
    <xf numFmtId="0" fontId="0" fillId="0" borderId="28" xfId="0" applyBorder="1"/>
    <xf numFmtId="0" fontId="0" fillId="0" borderId="32" xfId="0" applyBorder="1"/>
    <xf numFmtId="0" fontId="0" fillId="0" borderId="20" xfId="0" applyFill="1" applyBorder="1"/>
    <xf numFmtId="0" fontId="0" fillId="0" borderId="20" xfId="0" applyFill="1" applyBorder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6" fillId="16" borderId="1" xfId="0" applyFont="1" applyFill="1" applyBorder="1"/>
    <xf numFmtId="0" fontId="6" fillId="0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26" borderId="1" xfId="0" applyFill="1" applyBorder="1"/>
    <xf numFmtId="0" fontId="5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1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7" fontId="1" fillId="2" borderId="18" xfId="0" applyNumberFormat="1" applyFont="1" applyFill="1" applyBorder="1" applyAlignment="1">
      <alignment horizontal="center"/>
    </xf>
    <xf numFmtId="0" fontId="15" fillId="15" borderId="38" xfId="0" applyFont="1" applyFill="1" applyBorder="1" applyAlignment="1">
      <alignment horizontal="center"/>
    </xf>
    <xf numFmtId="0" fontId="15" fillId="15" borderId="39" xfId="0" applyFont="1" applyFill="1" applyBorder="1" applyAlignment="1">
      <alignment horizontal="center"/>
    </xf>
    <xf numFmtId="0" fontId="15" fillId="15" borderId="4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4" fillId="5" borderId="28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5" fillId="15" borderId="10" xfId="0" applyFont="1" applyFill="1" applyBorder="1" applyAlignment="1">
      <alignment horizontal="center"/>
    </xf>
    <xf numFmtId="0" fontId="14" fillId="15" borderId="28" xfId="0" applyFont="1" applyFill="1" applyBorder="1" applyAlignment="1">
      <alignment horizontal="center"/>
    </xf>
    <xf numFmtId="0" fontId="14" fillId="15" borderId="3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2">
    <cellStyle name="Normal" xfId="0" builtinId="0"/>
    <cellStyle name="Porcentaje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5A5A5"/>
      <color rgb="FFED7D31"/>
      <color rgb="FFFF9900"/>
      <color rgb="FF33CCFF"/>
      <color rgb="FF66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8.xml"/><Relationship Id="rId1" Type="http://schemas.microsoft.com/office/2011/relationships/chartStyle" Target="style8.xml"/><Relationship Id="rId5" Type="http://schemas.openxmlformats.org/officeDocument/2006/relationships/chartUserShapes" Target="../drawings/drawing9.xml"/><Relationship Id="rId4" Type="http://schemas.openxmlformats.org/officeDocument/2006/relationships/image" Target="../media/image2.jpeg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microsoft.com/office/2011/relationships/chartColorStyle" Target="colors12.xml"/><Relationship Id="rId1" Type="http://schemas.microsoft.com/office/2011/relationships/chartStyle" Target="style12.xml"/><Relationship Id="rId4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11/relationships/chartColorStyle" Target="colors13.xml"/><Relationship Id="rId1" Type="http://schemas.microsoft.com/office/2011/relationships/chartStyle" Target="style13.xml"/><Relationship Id="rId4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microsoft.com/office/2011/relationships/chartColorStyle" Target="colors14.xml"/><Relationship Id="rId1" Type="http://schemas.microsoft.com/office/2011/relationships/chartStyle" Target="style14.xml"/><Relationship Id="rId4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microsoft.com/office/2011/relationships/chartColorStyle" Target="colors16.xml"/><Relationship Id="rId1" Type="http://schemas.microsoft.com/office/2011/relationships/chartStyle" Target="style16.xml"/><Relationship Id="rId4" Type="http://schemas.openxmlformats.org/officeDocument/2006/relationships/chartUserShapes" Target="../drawings/drawing17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GRAFICOS!$C$9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val>
            <c:numRef>
              <c:f>GRAFICOS!$D$9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A-4BDD-B92B-A9DE5053DBCC}"/>
            </c:ext>
          </c:extLst>
        </c:ser>
        <c:ser>
          <c:idx val="1"/>
          <c:order val="1"/>
          <c:tx>
            <c:strRef>
              <c:f>GRAFICOS!$C$10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pct10">
              <a:fgClr>
                <a:schemeClr val="tx1">
                  <a:lumMod val="95000"/>
                  <a:lumOff val="5000"/>
                </a:schemeClr>
              </a:fgClr>
              <a:bgClr>
                <a:schemeClr val="bg1"/>
              </a:bgClr>
            </a:pattFill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  <a:sp3d>
              <a:contourClr>
                <a:schemeClr val="tx1">
                  <a:lumMod val="15000"/>
                  <a:lumOff val="8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pattFill prst="pct10"/>
              <a:ln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  <a:sp3d>
                <a:contourClr>
                  <a:schemeClr val="tx1">
                    <a:lumMod val="15000"/>
                    <a:lumOff val="8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196-470B-9164-62F280093AE6}"/>
              </c:ext>
            </c:extLst>
          </c:dPt>
          <c:dLbls>
            <c:dLbl>
              <c:idx val="0"/>
              <c:layout>
                <c:manualLayout>
                  <c:x val="0.35747533590210773"/>
                  <c:y val="-5.085656280870959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4AC229E-84F6-4E50-B150-09ED8CC0BC45}" type="VALUE">
                      <a:rPr lang="en-US" sz="3600">
                        <a:solidFill>
                          <a:sysClr val="windowText" lastClr="000000"/>
                        </a:solidFill>
                      </a:rPr>
                      <a:pPr>
                        <a:defRPr sz="2000"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10571359601822"/>
                      <c:h val="0.1648026843957252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96-470B-9164-62F280093A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GRAFICOS!$D$10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A-4BDD-B92B-A9DE5053DBCC}"/>
            </c:ext>
          </c:extLst>
        </c:ser>
        <c:ser>
          <c:idx val="2"/>
          <c:order val="2"/>
          <c:tx>
            <c:strRef>
              <c:f>GRAFICOS!$C$11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chemeClr val="bg1">
                <a:lumMod val="85000"/>
                <a:alpha val="71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7050798198709808"/>
                  <c:y val="-9.650108720204003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4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71D0A1C-1F05-4F33-9CC2-7C3F9FD41C95}" type="VALUE">
                      <a:rPr lang="en-US" sz="3600">
                        <a:solidFill>
                          <a:sysClr val="windowText" lastClr="000000"/>
                        </a:solidFill>
                      </a:rPr>
                      <a:pPr>
                        <a:defRPr sz="2400">
                          <a:solidFill>
                            <a:sysClr val="windowText" lastClr="000000"/>
                          </a:solidFill>
                        </a:defRPr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143613038615545"/>
                      <c:h val="0.2380482614292284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196-470B-9164-62F280093A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GRAFICOS!$D$11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A-4BDD-B92B-A9DE5053DBCC}"/>
            </c:ext>
          </c:extLst>
        </c:ser>
        <c:ser>
          <c:idx val="3"/>
          <c:order val="3"/>
          <c:tx>
            <c:strRef>
              <c:f>GRAFICOS!$C$12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val>
            <c:numRef>
              <c:f>GRAFICOS!$D$12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A-4BDD-B92B-A9DE5053DB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GRAFICOS!$C$19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GRAFICOS!$D$19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F-40F7-A203-6CC611688EBD}"/>
            </c:ext>
          </c:extLst>
        </c:ser>
        <c:ser>
          <c:idx val="1"/>
          <c:order val="1"/>
          <c:tx>
            <c:strRef>
              <c:f>GRAFICOS!$C$20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smConfetti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6113153204420934"/>
                  <c:y val="8.900975733223830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3DB8E65-219E-42CC-8D02-3374800CF85E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67010959528077"/>
                      <c:h val="0.209008350848989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BA9-4631-9F5C-2FC216E29D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GRAFICOS!$D$20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F-40F7-A203-6CC611688EBD}"/>
            </c:ext>
          </c:extLst>
        </c:ser>
        <c:ser>
          <c:idx val="2"/>
          <c:order val="2"/>
          <c:tx>
            <c:strRef>
              <c:f>GRAFICOS!$C$21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A5A5A5">
                <a:alpha val="37000"/>
              </a:srgbClr>
            </a:solidFill>
            <a:ln>
              <a:noFill/>
            </a:ln>
            <a:effectLst>
              <a:outerShdw blurRad="50800" dist="50800" dir="600000" algn="ctr" rotWithShape="0">
                <a:srgbClr val="000000">
                  <a:alpha val="5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-0.24880526196803582"/>
                  <c:y val="3.458750441516944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789AE6F-9FE3-4E5C-B9D2-B60BEB958D88}" type="VALUE">
                      <a:rPr lang="en-US" sz="3600">
                        <a:solidFill>
                          <a:sysClr val="windowText" lastClr="000000"/>
                        </a:solidFill>
                      </a:rPr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101206347965789"/>
                      <c:h val="0.1935376163073014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BA9-4631-9F5C-2FC216E29D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GRAFICOS!$D$21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F-40F7-A203-6CC611688EBD}"/>
            </c:ext>
          </c:extLst>
        </c:ser>
        <c:ser>
          <c:idx val="3"/>
          <c:order val="3"/>
          <c:tx>
            <c:strRef>
              <c:f>GRAFICOS!$C$22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GRAFICOS!$D$22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2F-40F7-A203-6CC611688E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B69-4084-9C48-29756F0DA4B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B69-4084-9C48-29756F0DA4B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AB69-4084-9C48-29756F0DA4B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AB69-4084-9C48-29756F0DA4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GRAFICOS!$C$29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GRAFICOS!$D$29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B-4BBB-B42D-53FCBBAA0307}"/>
            </c:ext>
          </c:extLst>
        </c:ser>
        <c:ser>
          <c:idx val="1"/>
          <c:order val="1"/>
          <c:tx>
            <c:strRef>
              <c:f>GRAFICOS!$C$30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lgConfetti">
              <a:fgClr>
                <a:schemeClr val="tx1">
                  <a:lumMod val="75000"/>
                  <a:lumOff val="2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pattFill prst="lgConfetti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BB36-481C-BC36-DDFFDE89CBD1}"/>
              </c:ext>
            </c:extLst>
          </c:dPt>
          <c:dLbls>
            <c:dLbl>
              <c:idx val="0"/>
              <c:layout>
                <c:manualLayout>
                  <c:x val="0.36103114720517671"/>
                  <c:y val="4.065137528617598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402FE5B-39E3-4A8F-B059-FF111E3DAF3B}" type="VALUE">
                      <a:rPr lang="en-US" sz="3600" b="0">
                        <a:solidFill>
                          <a:schemeClr val="tx1"/>
                        </a:solidFill>
                      </a:rPr>
                      <a:pPr>
                        <a:defRPr sz="1600"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434721008303805"/>
                      <c:h val="0.2126011171680463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B36-481C-BC36-DDFFDE89CB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EB-4BBB-B42D-53FCBBAA0307}"/>
            </c:ext>
          </c:extLst>
        </c:ser>
        <c:ser>
          <c:idx val="2"/>
          <c:order val="2"/>
          <c:tx>
            <c:strRef>
              <c:f>GRAFICOS!$C$31</c:f>
              <c:strCache>
                <c:ptCount val="1"/>
                <c:pt idx="0">
                  <c:v>Vacio</c:v>
                </c:pt>
              </c:strCache>
            </c:strRef>
          </c:tx>
          <c:spPr>
            <a:gradFill>
              <a:gsLst>
                <a:gs pos="93000">
                  <a:schemeClr val="accent1">
                    <a:lumMod val="45000"/>
                    <a:lumOff val="55000"/>
                    <a:alpha val="0"/>
                  </a:schemeClr>
                </a:gs>
                <a:gs pos="100000">
                  <a:schemeClr val="accent1">
                    <a:lumMod val="45000"/>
                    <a:lumOff val="55000"/>
                    <a:alpha val="6000"/>
                  </a:schemeClr>
                </a:gs>
                <a:gs pos="100000">
                  <a:srgbClr val="B5D2EC">
                    <a:alpha val="97000"/>
                    <a:lumMod val="99000"/>
                  </a:srgbClr>
                </a:gs>
                <a:gs pos="100000">
                  <a:schemeClr val="accent1">
                    <a:lumMod val="45000"/>
                    <a:lumOff val="55000"/>
                    <a:alpha val="0"/>
                  </a:schemeClr>
                </a:gs>
                <a:gs pos="0">
                  <a:schemeClr val="accent1">
                    <a:lumMod val="51000"/>
                    <a:lumOff val="49000"/>
                    <a:alpha val="20000"/>
                  </a:schemeClr>
                </a:gs>
                <a:gs pos="100000">
                  <a:schemeClr val="accent1">
                    <a:lumMod val="51000"/>
                    <a:lumOff val="49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77807395163988"/>
                  <c:y val="-5.37567940544921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2A8A007-DD3E-4F34-AB41-611F15ACB3AF}" type="VALUE">
                      <a:rPr lang="en-US" sz="3600" b="0">
                        <a:solidFill>
                          <a:sysClr val="windowText" lastClr="000000"/>
                        </a:solidFill>
                      </a:rPr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130475779456516"/>
                      <c:h val="0.2577083249209233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B36-481C-BC36-DDFFDE89CB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EB-4BBB-B42D-53FCBBAA0307}"/>
            </c:ext>
          </c:extLst>
        </c:ser>
        <c:ser>
          <c:idx val="3"/>
          <c:order val="3"/>
          <c:tx>
            <c:strRef>
              <c:f>GRAFICOS!$C$32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GRAFICOS!$D$32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EB-4BBB-B42D-53FCBBAA03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GRAFICOS!$C$39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GRAFICOS!$D$39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A-416A-843A-D6CE9C932998}"/>
            </c:ext>
          </c:extLst>
        </c:ser>
        <c:ser>
          <c:idx val="1"/>
          <c:order val="1"/>
          <c:tx>
            <c:strRef>
              <c:f>GRAFICOS!$C$40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pct6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8163972503402366"/>
                  <c:y val="9.94351161063504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0DEEF69-26C2-4EE4-97AB-3213F6344044}" type="VALUE">
                      <a:rPr lang="en-US" sz="3600"/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4410877705568"/>
                      <c:h val="0.1737190667612294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D36-4D25-84AA-A15E7F2BAB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GRAFICOS!$D$40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FA-416A-843A-D6CE9C932998}"/>
            </c:ext>
          </c:extLst>
        </c:ser>
        <c:ser>
          <c:idx val="2"/>
          <c:order val="2"/>
          <c:tx>
            <c:strRef>
              <c:f>GRAFICOS!$C$41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chemeClr val="accent1">
                      <a:lumMod val="5000"/>
                      <a:lumOff val="95000"/>
                      <a:alpha val="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ED36-4D25-84AA-A15E7F2BAB48}"/>
              </c:ext>
            </c:extLst>
          </c:dPt>
          <c:dLbls>
            <c:dLbl>
              <c:idx val="0"/>
              <c:layout>
                <c:manualLayout>
                  <c:x val="-0.27886595697271443"/>
                  <c:y val="-7.856621896463791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59693E8-E5EB-4F24-A12A-F3355488AC5B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48772873071823"/>
                      <c:h val="0.1677565356182558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D36-4D25-84AA-A15E7F2BAB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GRAFICOS!$D$41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FA-416A-843A-D6CE9C932998}"/>
            </c:ext>
          </c:extLst>
        </c:ser>
        <c:ser>
          <c:idx val="3"/>
          <c:order val="3"/>
          <c:tx>
            <c:strRef>
              <c:f>GRAFICOS!$C$42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GRAFICOS!$D$42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FA-416A-843A-D6CE9C9329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696-4FF9-99F2-B71BDE27526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696-4FF9-99F2-B71BDE27526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0696-4FF9-99F2-B71BDE27526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0696-4FF9-99F2-B71BDE2752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GRAFICOS!$J$19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GRAFICOS!$K$19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8-4A06-A4B7-0E98342C4E2B}"/>
            </c:ext>
          </c:extLst>
        </c:ser>
        <c:ser>
          <c:idx val="1"/>
          <c:order val="1"/>
          <c:tx>
            <c:strRef>
              <c:f>GRAFICOS!$J$20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pct20">
              <a:fgClr>
                <a:schemeClr val="tx1">
                  <a:lumMod val="75000"/>
                  <a:lumOff val="2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6561276509694701"/>
                  <c:y val="3.442550735631640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0531C8F-8F4C-46E0-B52D-9D682418AF6C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296150481189849"/>
                      <c:h val="0.1875074239315156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2E8-4A06-A4B7-0E98342C4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GRAFICOS!$K$20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E8-4A06-A4B7-0E98342C4E2B}"/>
            </c:ext>
          </c:extLst>
        </c:ser>
        <c:ser>
          <c:idx val="2"/>
          <c:order val="2"/>
          <c:tx>
            <c:strRef>
              <c:f>GRAFICOS!$J$21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33CCFF">
                <a:alpha val="5098"/>
              </a:srgb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33CCFF">
                  <a:alpha val="27059"/>
                </a:srgb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2E8-4A06-A4B7-0E98342C4E2B}"/>
              </c:ext>
            </c:extLst>
          </c:dPt>
          <c:dLbls>
            <c:dLbl>
              <c:idx val="0"/>
              <c:layout>
                <c:manualLayout>
                  <c:x val="-0.27404177347797337"/>
                  <c:y val="-8.486973656341856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8B84F0-A5A7-4194-9225-2980B38F4E7E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424526100904053"/>
                      <c:h val="0.244705332301741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2E8-4A06-A4B7-0E98342C4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GRAFICOS!$K$21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E8-4A06-A4B7-0E98342C4E2B}"/>
            </c:ext>
          </c:extLst>
        </c:ser>
        <c:ser>
          <c:idx val="3"/>
          <c:order val="3"/>
          <c:tx>
            <c:strRef>
              <c:f>GRAFICOS!$J$22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GRAFICOS!$K$22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E8-4A06-A4B7-0E98342C4E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GRAFICOS!$J$29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GRAFICOS!$K$29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F-462A-A86C-9D923031AE9B}"/>
            </c:ext>
          </c:extLst>
        </c:ser>
        <c:ser>
          <c:idx val="1"/>
          <c:order val="1"/>
          <c:tx>
            <c:strRef>
              <c:f>GRAFICOS!$J$30</c:f>
              <c:strCache>
                <c:ptCount val="1"/>
                <c:pt idx="0">
                  <c:v>LLeno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blipFill dpi="0" rotWithShape="1">
                <a:blip xmlns:r="http://schemas.openxmlformats.org/officeDocument/2006/relationships" r:embed="rId4"/>
                <a:srcRect/>
                <a:tile tx="0" ty="0" sx="100000" sy="100000" flip="none" algn="tl"/>
              </a:blip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0ADF-462A-A86C-9D923031AE9B}"/>
              </c:ext>
            </c:extLst>
          </c:dPt>
          <c:dLbls>
            <c:dLbl>
              <c:idx val="0"/>
              <c:layout>
                <c:manualLayout>
                  <c:x val="0.37687745524517396"/>
                  <c:y val="5.944446422363422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81DDABF-97FD-4F0A-93F6-DB4D17818496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4906435681989"/>
                      <c:h val="0.2019347363527080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0ADF-462A-A86C-9D923031AE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F-462A-A86C-9D923031AE9B}"/>
            </c:ext>
          </c:extLst>
        </c:ser>
        <c:ser>
          <c:idx val="2"/>
          <c:order val="2"/>
          <c:tx>
            <c:strRef>
              <c:f>GRAFICOS!$J$31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000000">
                <a:alpha val="21176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5083073011678153"/>
                  <c:y val="-6.110422359460038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E742991-CA66-4DA3-AF2E-3A1292437B93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680953379448403"/>
                      <c:h val="0.218557981880400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ADF-462A-A86C-9D923031AE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DF-462A-A86C-9D923031AE9B}"/>
            </c:ext>
          </c:extLst>
        </c:ser>
        <c:ser>
          <c:idx val="3"/>
          <c:order val="3"/>
          <c:tx>
            <c:strRef>
              <c:f>GRAFICOS!$J$32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GRAFICOS!$K$32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DF-462A-A86C-9D923031A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5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GRAFICOS!$J$39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GRAFICOS!$K$39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0-45F6-8DFB-3879AA2849DF}"/>
            </c:ext>
          </c:extLst>
        </c:ser>
        <c:ser>
          <c:idx val="1"/>
          <c:order val="1"/>
          <c:tx>
            <c:strRef>
              <c:f>GRAFICOS!$J$40</c:f>
              <c:strCache>
                <c:ptCount val="1"/>
                <c:pt idx="0">
                  <c:v>LLeno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CD0-45F6-8DFB-3879AA2849DF}"/>
              </c:ext>
            </c:extLst>
          </c:dPt>
          <c:dLbls>
            <c:dLbl>
              <c:idx val="0"/>
              <c:layout>
                <c:manualLayout>
                  <c:x val="0.35591317559035673"/>
                  <c:y val="-4.613299748832606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3C7C03A-517B-4342-AEDD-A44AB5133A64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52944665316318"/>
                      <c:h val="0.18540264480698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CD0-45F6-8DFB-3879AA2849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GRAFICOS!$K$40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D0-45F6-8DFB-3879AA2849DF}"/>
            </c:ext>
          </c:extLst>
        </c:ser>
        <c:ser>
          <c:idx val="2"/>
          <c:order val="2"/>
          <c:tx>
            <c:strRef>
              <c:f>GRAFICOS!$J$41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33CCFF">
                <a:alpha val="18824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8394613053000228"/>
                  <c:y val="-0.1004545589802537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A96F4F6-29F2-4021-9639-B531093328AC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14131459639317"/>
                      <c:h val="0.2623839631988520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CD0-45F6-8DFB-3879AA2849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GRAFICOS!$K$41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D0-45F6-8DFB-3879AA2849DF}"/>
            </c:ext>
          </c:extLst>
        </c:ser>
        <c:ser>
          <c:idx val="3"/>
          <c:order val="3"/>
          <c:tx>
            <c:strRef>
              <c:f>GRAFICOS!$J$42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GRAFICOS!$K$42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D0-45F6-8DFB-3879AA2849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4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GRAFICOS!$J$39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GRAFICOS!$K$39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8-458B-B19B-7859BF8AFB79}"/>
            </c:ext>
          </c:extLst>
        </c:ser>
        <c:ser>
          <c:idx val="1"/>
          <c:order val="1"/>
          <c:tx>
            <c:strRef>
              <c:f>GRAFICOS!$J$40</c:f>
              <c:strCache>
                <c:ptCount val="1"/>
                <c:pt idx="0">
                  <c:v>LLeno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5837657507961385"/>
                  <c:y val="2.66777439116906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3080C1B-0F8E-46DF-99B2-9DC1A7BAFC43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70724474966931"/>
                      <c:h val="0.1949591820238078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DC8-458B-B19B-7859BF8AF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GRAFICOS!$K$40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C8-458B-B19B-7859BF8AFB79}"/>
            </c:ext>
          </c:extLst>
        </c:ser>
        <c:ser>
          <c:idx val="2"/>
          <c:order val="2"/>
          <c:tx>
            <c:strRef>
              <c:f>GRAFICOS!$J$41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33CCFF">
                <a:alpha val="18824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6457990273785903"/>
                  <c:y val="-0.1073690810168089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5E13E76-9399-4347-92A2-5AB03B1629B5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728044612013505"/>
                      <c:h val="0.172882099397284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DC8-458B-B19B-7859BF8AF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GRAFICOS!$K$41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C8-458B-B19B-7859BF8AFB79}"/>
            </c:ext>
          </c:extLst>
        </c:ser>
        <c:ser>
          <c:idx val="3"/>
          <c:order val="3"/>
          <c:tx>
            <c:strRef>
              <c:f>GRAFICOS!$J$42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GRAFICOS!$K$42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C8-458B-B19B-7859BF8AFB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4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GRAFICOS!$J$39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GRAFICOS!$K$39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1-4C71-81CB-DDA5905C35EB}"/>
            </c:ext>
          </c:extLst>
        </c:ser>
        <c:ser>
          <c:idx val="1"/>
          <c:order val="1"/>
          <c:tx>
            <c:strRef>
              <c:f>GRAFICOS!$J$40</c:f>
              <c:strCache>
                <c:ptCount val="1"/>
                <c:pt idx="0">
                  <c:v>LLeno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4608333479891062"/>
                  <c:y val="-1.65735021046087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0B860C-24AB-42A0-92FC-161336B8C41D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019818196568503"/>
                      <c:h val="0.2160768226789946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2E1-4C71-81CB-DDA5905C35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GRAFICOS!$K$40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1-4C71-81CB-DDA5905C35EB}"/>
            </c:ext>
          </c:extLst>
        </c:ser>
        <c:ser>
          <c:idx val="2"/>
          <c:order val="2"/>
          <c:tx>
            <c:strRef>
              <c:f>GRAFICOS!$J$41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33CCFF">
                <a:alpha val="18824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807486130439395"/>
                  <c:y val="-0.1159844586962816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EAD9624-AA32-4EC3-807F-CECB26E951F3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81308160957816"/>
                      <c:h val="0.1986470666544063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2E1-4C71-81CB-DDA5905C35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GRAFICOS!$K$41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E1-4C71-81CB-DDA5905C35EB}"/>
            </c:ext>
          </c:extLst>
        </c:ser>
        <c:ser>
          <c:idx val="3"/>
          <c:order val="3"/>
          <c:tx>
            <c:strRef>
              <c:f>GRAFICOS!$J$42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GRAFICOS!$K$42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E1-4C71-81CB-DDA5905C35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4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GRAFICOS!$Q$29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GRAFICOS!$R$29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6-4BF3-9054-47AF44E70E44}"/>
            </c:ext>
          </c:extLst>
        </c:ser>
        <c:ser>
          <c:idx val="1"/>
          <c:order val="1"/>
          <c:tx>
            <c:strRef>
              <c:f>GRAFICOS!$Q$30</c:f>
              <c:strCache>
                <c:ptCount val="1"/>
                <c:pt idx="0">
                  <c:v>LLeno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5214847325442883"/>
                  <c:y val="9.73613373520174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09F5DA2-2FB0-482E-AE70-1F1C696DB9CE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03682901174997"/>
                      <c:h val="0.2086450615934448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866-4BF3-9054-47AF44E70E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6-4BF3-9054-47AF44E70E44}"/>
            </c:ext>
          </c:extLst>
        </c:ser>
        <c:ser>
          <c:idx val="2"/>
          <c:order val="2"/>
          <c:tx>
            <c:strRef>
              <c:f>GRAFICOS!$Q$31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000000">
                <a:alpha val="14118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7826097883412787"/>
                  <c:y val="-4.646322249672731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C5BE32D-FBB1-4DB3-AEDC-D98FB1FA128D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667967430265536"/>
                      <c:h val="0.1937378603881917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866-4BF3-9054-47AF44E70E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66-4BF3-9054-47AF44E70E44}"/>
            </c:ext>
          </c:extLst>
        </c:ser>
        <c:ser>
          <c:idx val="3"/>
          <c:order val="3"/>
          <c:tx>
            <c:strRef>
              <c:f>GRAFICOS!$Q$32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GRAFICOS!$R$32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66-4BF3-9054-47AF44E70E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4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GRAFICOS!$Q$39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GRAFICOS!$R$39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7-467F-AB88-D334CF1669F3}"/>
            </c:ext>
          </c:extLst>
        </c:ser>
        <c:ser>
          <c:idx val="1"/>
          <c:order val="1"/>
          <c:tx>
            <c:strRef>
              <c:f>GRAFICOS!$Q$40</c:f>
              <c:strCache>
                <c:ptCount val="1"/>
                <c:pt idx="0">
                  <c:v>LLeno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5152303264357077"/>
                  <c:y val="0.1832274314878467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3D5D18E-A118-4CFB-916E-B8535969AC09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82377597282816"/>
                      <c:h val="0.1674545541355321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E17-467F-AB88-D334CF1669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GRAFICOS!$R$40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17-467F-AB88-D334CF1669F3}"/>
            </c:ext>
          </c:extLst>
        </c:ser>
        <c:ser>
          <c:idx val="2"/>
          <c:order val="2"/>
          <c:tx>
            <c:strRef>
              <c:f>GRAFICOS!$Q$41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66FFFF">
                <a:alpha val="27000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6068594921789301"/>
                  <c:y val="1.729096669716921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25333DA-4A54-4CF2-9E22-BBB4A4240740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43104320329318"/>
                      <c:h val="0.123903338988044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E17-467F-AB88-D334CF1669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GRAFICOS!$R$41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17-467F-AB88-D334CF1669F3}"/>
            </c:ext>
          </c:extLst>
        </c:ser>
        <c:ser>
          <c:idx val="3"/>
          <c:order val="3"/>
          <c:tx>
            <c:strRef>
              <c:f>GRAFICOS!$Q$42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GRAFICOS!$R$42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17-467F-AB88-D334CF1669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4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GRAFICOS!$Q$39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GRAFICOS!$R$39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9-43A1-AC8C-2CDB1455F980}"/>
            </c:ext>
          </c:extLst>
        </c:ser>
        <c:ser>
          <c:idx val="1"/>
          <c:order val="1"/>
          <c:tx>
            <c:strRef>
              <c:f>GRAFICOS!$Q$40</c:f>
              <c:strCache>
                <c:ptCount val="1"/>
                <c:pt idx="0">
                  <c:v>LLeno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5656190031697427"/>
                  <c:y val="0.1166369869736527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FB7E855-C459-4B2A-85D2-C78C4F9F8CFB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516914752795963"/>
                      <c:h val="0.2314483222794004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0C9-43A1-AC8C-2CDB1455F9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GRAFICOS!$R$40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C9-43A1-AC8C-2CDB1455F980}"/>
            </c:ext>
          </c:extLst>
        </c:ser>
        <c:ser>
          <c:idx val="2"/>
          <c:order val="2"/>
          <c:tx>
            <c:strRef>
              <c:f>GRAFICOS!$Q$41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66FFFF">
                <a:alpha val="29000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6607454512395812"/>
                  <c:y val="1.657332753761374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B21EA88-C723-4B63-B59B-8AC32C396AAA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55411898637713"/>
                      <c:h val="0.1388476800762791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0C9-43A1-AC8C-2CDB1455F9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GRAFICOS!$R$41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C9-43A1-AC8C-2CDB1455F980}"/>
            </c:ext>
          </c:extLst>
        </c:ser>
        <c:ser>
          <c:idx val="3"/>
          <c:order val="3"/>
          <c:tx>
            <c:strRef>
              <c:f>GRAFICOS!$Q$42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GRAFICOS!$R$42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C9-43A1-AC8C-2CDB1455F9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4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GRAFICOS!$Q$39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GRAFICOS!$R$39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6-40B7-A80C-68C0464E3C41}"/>
            </c:ext>
          </c:extLst>
        </c:ser>
        <c:ser>
          <c:idx val="1"/>
          <c:order val="1"/>
          <c:tx>
            <c:strRef>
              <c:f>GRAFICOS!$Q$40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pct60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5602852449279188"/>
                  <c:y val="0.1864079189603904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B9F228-3B39-4130-A474-7D5D453C5C74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88636917530723"/>
                      <c:h val="0.16175323401624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86-40B7-A80C-68C0464E3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GRAFICOS!$R$40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86-40B7-A80C-68C0464E3C41}"/>
            </c:ext>
          </c:extLst>
        </c:ser>
        <c:ser>
          <c:idx val="2"/>
          <c:order val="2"/>
          <c:tx>
            <c:strRef>
              <c:f>GRAFICOS!$Q$41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66FFFF">
                <a:alpha val="42000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7999043882584518"/>
                  <c:y val="3.349377964262716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BE76A8-48EC-4BCA-B565-E0A6FBF52049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79462971815894"/>
                      <c:h val="0.1628992925197198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186-40B7-A80C-68C0464E3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GRAFICOS!$R$41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86-40B7-A80C-68C0464E3C41}"/>
            </c:ext>
          </c:extLst>
        </c:ser>
        <c:ser>
          <c:idx val="3"/>
          <c:order val="3"/>
          <c:tx>
            <c:strRef>
              <c:f>GRAFICOS!$Q$42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GRAFICOS!$R$42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86-40B7-A80C-68C0464E3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GRAFICOS!$X$29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GRAFICOS!$Y$29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9-4BB2-AD3E-A13EE056D533}"/>
            </c:ext>
          </c:extLst>
        </c:ser>
        <c:ser>
          <c:idx val="1"/>
          <c:order val="1"/>
          <c:tx>
            <c:strRef>
              <c:f>GRAFICOS!$X$30</c:f>
              <c:strCache>
                <c:ptCount val="1"/>
                <c:pt idx="0">
                  <c:v>LLeno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7591044762511494"/>
                  <c:y val="5.0064802975495308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B5C14DB-905B-4D68-B94C-4F3067B51637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17562422146828"/>
                      <c:h val="0.2551449983203707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C09-4BB2-AD3E-A13EE056D5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GRAFICOS!$Y$30</c:f>
              <c:numCache>
                <c:formatCode>0%</c:formatCode>
                <c:ptCount val="1"/>
                <c:pt idx="0">
                  <c:v>0.29839999999999994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9-4BB2-AD3E-A13EE056D533}"/>
            </c:ext>
          </c:extLst>
        </c:ser>
        <c:ser>
          <c:idx val="2"/>
          <c:order val="2"/>
          <c:tx>
            <c:strRef>
              <c:f>GRAFICOS!$X$31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66FFFF">
                <a:alpha val="16863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6251912926874782"/>
                  <c:y val="-0.1195233853801402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AD4BAFC-A9DD-4CA9-BB6C-96BCDAE08655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087040624374844"/>
                      <c:h val="0.1289280425560531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C09-4BB2-AD3E-A13EE056D5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GRAFICOS!$Y$31</c:f>
              <c:numCache>
                <c:formatCode>0%</c:formatCode>
                <c:ptCount val="1"/>
                <c:pt idx="0">
                  <c:v>0.7016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09-4BB2-AD3E-A13EE056D533}"/>
            </c:ext>
          </c:extLst>
        </c:ser>
        <c:ser>
          <c:idx val="3"/>
          <c:order val="3"/>
          <c:tx>
            <c:strRef>
              <c:f>GRAFICOS!$X$32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GRAFICOS!$Y$32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09-4BB2-AD3E-A13EE056D5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4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GRAFICOS!$X$39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GRAFICOS!$Y$39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D-433E-A603-5D4C805251D5}"/>
            </c:ext>
          </c:extLst>
        </c:ser>
        <c:ser>
          <c:idx val="1"/>
          <c:order val="1"/>
          <c:tx>
            <c:strRef>
              <c:f>GRAFICOS!$X$40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pct25">
              <a:fgClr>
                <a:schemeClr val="tx1">
                  <a:lumMod val="95000"/>
                  <a:lumOff val="5000"/>
                </a:schemeClr>
              </a:fgClr>
              <a:bgClr>
                <a:srgbClr val="FFFF00"/>
              </a:bgClr>
            </a:patt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6691840566989181"/>
                  <c:y val="-6.288431211494063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FAA2C6-9864-4567-9679-5A00109A843E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527101616192"/>
                      <c:h val="0.1973375083841764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4A7-4CDE-971E-DEDA49AFCF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GRAFICOS!$Y$40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0D-433E-A603-5D4C805251D5}"/>
            </c:ext>
          </c:extLst>
        </c:ser>
        <c:ser>
          <c:idx val="2"/>
          <c:order val="2"/>
          <c:tx>
            <c:strRef>
              <c:f>GRAFICOS!$X$41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66FFFF">
                <a:alpha val="16863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6311249866815944"/>
                  <c:y val="-0.1632299015897953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AF69E65-A668-426C-B57E-B7945133D0A7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0485302963423"/>
                      <c:h val="0.212521685276250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A35-4C10-97D9-0BB3DB3332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GRAFICOS!$Y$41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0D-433E-A603-5D4C805251D5}"/>
            </c:ext>
          </c:extLst>
        </c:ser>
        <c:ser>
          <c:idx val="3"/>
          <c:order val="3"/>
          <c:tx>
            <c:strRef>
              <c:f>GRAFICOS!$X$42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GRAFICOS!$Y$42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0D-433E-A603-5D4C805251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3826065519460384E-2"/>
          <c:y val="3.3778446372327846E-2"/>
          <c:w val="0.90131887988098924"/>
          <c:h val="0.9256874179808787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GRAFICOS!$AF$9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1-4B57-B29E-6D451DC48F5C}"/>
            </c:ext>
          </c:extLst>
        </c:ser>
        <c:ser>
          <c:idx val="1"/>
          <c:order val="1"/>
          <c:tx>
            <c:strRef>
              <c:f>GRAFICOS!$AF$10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sphere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pattFill prst="sphere">
                <a:fgClr>
                  <a:schemeClr val="bg1">
                    <a:lumMod val="8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B26C-442D-8D3A-F9DD36921F14}"/>
              </c:ext>
            </c:extLst>
          </c:dPt>
          <c:dLbls>
            <c:dLbl>
              <c:idx val="0"/>
              <c:layout>
                <c:manualLayout>
                  <c:x val="0.3649639507994859"/>
                  <c:y val="-2.89348262468367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FAFFD63-E227-41D3-BCCB-8C1C9BD3DAF4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94705382315534"/>
                      <c:h val="0.1871752858181704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B26C-442D-8D3A-F9DD36921F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GRAFICOS!$AG$10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1-4B57-B29E-6D451DC48F5C}"/>
            </c:ext>
          </c:extLst>
        </c:ser>
        <c:ser>
          <c:idx val="2"/>
          <c:order val="2"/>
          <c:tx>
            <c:strRef>
              <c:f>GRAFICOS!$AF$11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66FFFF">
                <a:alpha val="10196"/>
              </a:srgb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66FFFF">
                  <a:alpha val="20000"/>
                </a:srgb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E-5AC1-4B57-B29E-6D451DC48F5C}"/>
              </c:ext>
            </c:extLst>
          </c:dPt>
          <c:dLbls>
            <c:dLbl>
              <c:idx val="0"/>
              <c:layout>
                <c:manualLayout>
                  <c:x val="-0.27594824705225318"/>
                  <c:y val="-0.15318508376664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2ED2FF0-91C5-44E1-A7A2-A30876BD1FC7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106829890837472"/>
                      <c:h val="0.1837711728455784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5AC1-4B57-B29E-6D451DC48F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GRAFICOS!$AG$11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1-4B57-B29E-6D451DC48F5C}"/>
            </c:ext>
          </c:extLst>
        </c:ser>
        <c:ser>
          <c:idx val="3"/>
          <c:order val="3"/>
          <c:tx>
            <c:strRef>
              <c:f>GRAFICOS!$AF$12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GRAFICOS!$AG$12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1-4B57-B29E-6D451DC48F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GRAFICOS!$AF$19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GRAFICOS!$AG$19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B-435D-8B10-72C3A8894BC6}"/>
            </c:ext>
          </c:extLst>
        </c:ser>
        <c:ser>
          <c:idx val="1"/>
          <c:order val="1"/>
          <c:tx>
            <c:strRef>
              <c:f>GRAFICOS!$AF$20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trellis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5264608996902364"/>
                  <c:y val="0.1696614473739025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357D2FD-5D0C-45B8-9A16-11FDDC50E866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53451069853007"/>
                      <c:h val="0.174965856753612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425-4545-9B3C-BA6C1B58A7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GRAFICOS!$AG$20</c:f>
              <c:numCache>
                <c:formatCode>0%</c:formatCode>
                <c:ptCount val="1"/>
                <c:pt idx="0">
                  <c:v>1.1674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B-435D-8B10-72C3A8894BC6}"/>
            </c:ext>
          </c:extLst>
        </c:ser>
        <c:ser>
          <c:idx val="2"/>
          <c:order val="2"/>
          <c:tx>
            <c:strRef>
              <c:f>GRAFICOS!$AF$21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66FFFF">
                <a:alpha val="21961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766979092796541"/>
                  <c:y val="3.036048968277716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DD12F63-16E5-4FBB-8A51-86FB8DCD753C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136484935478446"/>
                      <c:h val="0.19639679064733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425-4545-9B3C-BA6C1B58A7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GRAFICOS!$AG$21</c:f>
              <c:numCache>
                <c:formatCode>0%</c:formatCode>
                <c:ptCount val="1"/>
                <c:pt idx="0">
                  <c:v>-0.16739999999999999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B-435D-8B10-72C3A8894BC6}"/>
            </c:ext>
          </c:extLst>
        </c:ser>
        <c:ser>
          <c:idx val="3"/>
          <c:order val="3"/>
          <c:tx>
            <c:strRef>
              <c:f>GRAFICOS!$AF$22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GRAFICOS!$AG$22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4B-435D-8B10-72C3A8894B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GRAFICOS!$AF$29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GRAFICOS!$AG$29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5-4126-85F2-57C552948908}"/>
            </c:ext>
          </c:extLst>
        </c:ser>
        <c:ser>
          <c:idx val="1"/>
          <c:order val="1"/>
          <c:tx>
            <c:strRef>
              <c:f>GRAFICOS!$AF$30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pct10">
              <a:fgClr>
                <a:schemeClr val="tx1">
                  <a:lumMod val="75000"/>
                  <a:lumOff val="2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pattFill prst="pct1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8725-4126-85F2-57C552948908}"/>
              </c:ext>
            </c:extLst>
          </c:dPt>
          <c:dLbls>
            <c:dLbl>
              <c:idx val="0"/>
              <c:layout>
                <c:manualLayout>
                  <c:x val="0.34406285723443814"/>
                  <c:y val="0.1449441422382701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46E067F-35A4-4FB7-B0A5-D438991C3EB6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44165506920508"/>
                      <c:h val="0.165229322105939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8725-4126-85F2-57C5529489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5-4126-85F2-57C552948908}"/>
            </c:ext>
          </c:extLst>
        </c:ser>
        <c:ser>
          <c:idx val="2"/>
          <c:order val="2"/>
          <c:tx>
            <c:strRef>
              <c:f>GRAFICOS!$AF$31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rgbClr val="66FFFF">
                <a:alpha val="18039"/>
              </a:srgb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6847109768955452"/>
                  <c:y val="3.34927818951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10EDC48-F62B-4568-90A0-A1D9508B6DB4}" type="VALUE">
                      <a:rPr lang="en-US" sz="3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80871453009327"/>
                      <c:h val="0.2003956908737735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8725-4126-85F2-57C5529489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5-4126-85F2-57C552948908}"/>
            </c:ext>
          </c:extLst>
        </c:ser>
        <c:ser>
          <c:idx val="3"/>
          <c:order val="3"/>
          <c:tx>
            <c:strRef>
              <c:f>GRAFICOS!$AF$32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GRAFICOS!$AG$32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25-4126-85F2-57C5529489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GRAFICOS!$J$9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6-4477-8646-5DEE8E2DF716}"/>
            </c:ext>
          </c:extLst>
        </c:ser>
        <c:ser>
          <c:idx val="1"/>
          <c:order val="1"/>
          <c:tx>
            <c:strRef>
              <c:f>GRAFICOS!$J$10</c:f>
              <c:strCache>
                <c:ptCount val="1"/>
                <c:pt idx="0">
                  <c:v>LLeno</c:v>
                </c:pt>
              </c:strCache>
            </c:strRef>
          </c:tx>
          <c:spPr>
            <a:pattFill prst="divot">
              <a:fgClr>
                <a:schemeClr val="tx1">
                  <a:lumMod val="95000"/>
                  <a:lumOff val="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37056808129407631"/>
                  <c:y val="5.71636216254009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8BC3A8D-BB41-4EFE-9DF0-13D7E1B40E88}" type="VALUE">
                      <a:rPr lang="en-US" sz="3600"/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9761300700975"/>
                      <c:h val="0.2670264855227624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A2E-4187-9AE8-E8229D5BE0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GRAFICOS!$K$10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F6-4477-8646-5DEE8E2DF716}"/>
            </c:ext>
          </c:extLst>
        </c:ser>
        <c:ser>
          <c:idx val="2"/>
          <c:order val="2"/>
          <c:tx>
            <c:strRef>
              <c:f>GRAFICOS!$J$11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0000">
                  <a:alpha val="18824"/>
                </a:srgb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26F6-4477-8646-5DEE8E2DF716}"/>
              </c:ext>
            </c:extLst>
          </c:dPt>
          <c:dLbls>
            <c:dLbl>
              <c:idx val="0"/>
              <c:layout>
                <c:manualLayout>
                  <c:x val="-0.28145435754413839"/>
                  <c:y val="-5.896549256692390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680358-BF66-4C19-A127-DF5B7D4C2D0C}" type="VALUE">
                      <a:rPr lang="en-US" sz="3600"/>
                      <a:pPr>
                        <a:defRPr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78620015696352"/>
                      <c:h val="0.2635579351692433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6F6-4477-8646-5DEE8E2DF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GRAFICOS!$K$11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F6-4477-8646-5DEE8E2DF716}"/>
            </c:ext>
          </c:extLst>
        </c:ser>
        <c:ser>
          <c:idx val="3"/>
          <c:order val="3"/>
          <c:tx>
            <c:strRef>
              <c:f>GRAFICOS!$J$12</c:f>
              <c:strCache>
                <c:ptCount val="1"/>
                <c:pt idx="0">
                  <c:v>Tapa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GRAFICOS!$K$12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F6-4477-8646-5DEE8E2DF7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75"/>
        <c:shape val="cylinder"/>
        <c:axId val="575358216"/>
        <c:axId val="575353296"/>
        <c:axId val="0"/>
      </c:bar3DChart>
      <c:catAx>
        <c:axId val="575358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5353296"/>
        <c:crosses val="autoZero"/>
        <c:auto val="1"/>
        <c:lblAlgn val="ctr"/>
        <c:lblOffset val="100"/>
        <c:noMultiLvlLbl val="0"/>
      </c:catAx>
      <c:valAx>
        <c:axId val="575353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753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286843</xdr:colOff>
      <xdr:row>2</xdr:row>
      <xdr:rowOff>183055</xdr:rowOff>
    </xdr:from>
    <xdr:to>
      <xdr:col>8</xdr:col>
      <xdr:colOff>-1</xdr:colOff>
      <xdr:row>12</xdr:row>
      <xdr:rowOff>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301130</xdr:colOff>
      <xdr:row>12</xdr:row>
      <xdr:rowOff>325930</xdr:rowOff>
    </xdr:from>
    <xdr:to>
      <xdr:col>8</xdr:col>
      <xdr:colOff>28574</xdr:colOff>
      <xdr:row>22</xdr:row>
      <xdr:rowOff>23812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286843</xdr:colOff>
      <xdr:row>24</xdr:row>
      <xdr:rowOff>183055</xdr:rowOff>
    </xdr:from>
    <xdr:to>
      <xdr:col>8</xdr:col>
      <xdr:colOff>722585</xdr:colOff>
      <xdr:row>25</xdr:row>
      <xdr:rowOff>21895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286843</xdr:colOff>
      <xdr:row>23</xdr:row>
      <xdr:rowOff>23812</xdr:rowOff>
    </xdr:from>
    <xdr:to>
      <xdr:col>8</xdr:col>
      <xdr:colOff>47625</xdr:colOff>
      <xdr:row>31</xdr:row>
      <xdr:rowOff>309562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286843</xdr:colOff>
      <xdr:row>33</xdr:row>
      <xdr:rowOff>47624</xdr:rowOff>
    </xdr:from>
    <xdr:to>
      <xdr:col>8</xdr:col>
      <xdr:colOff>23812</xdr:colOff>
      <xdr:row>42</xdr:row>
      <xdr:rowOff>21894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208358</xdr:colOff>
      <xdr:row>26</xdr:row>
      <xdr:rowOff>95249</xdr:rowOff>
    </xdr:from>
    <xdr:to>
      <xdr:col>7</xdr:col>
      <xdr:colOff>1309688</xdr:colOff>
      <xdr:row>28</xdr:row>
      <xdr:rowOff>309562</xdr:rowOff>
    </xdr:to>
    <xdr:sp macro="" textlink="">
      <xdr:nvSpPr>
        <xdr:cNvPr id="3" name="CuadroTexto 2"/>
        <xdr:cNvSpPr txBox="1"/>
      </xdr:nvSpPr>
      <xdr:spPr>
        <a:xfrm>
          <a:off x="7590233" y="11584780"/>
          <a:ext cx="1101330" cy="8691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800" b="1">
              <a:solidFill>
                <a:sysClr val="windowText" lastClr="000000"/>
              </a:solidFill>
            </a:rPr>
            <a:t>EN</a:t>
          </a:r>
          <a:r>
            <a:rPr lang="es-AR" sz="1800" b="1" baseline="0">
              <a:solidFill>
                <a:sysClr val="windowText" lastClr="000000"/>
              </a:solidFill>
            </a:rPr>
            <a:t> STOCK</a:t>
          </a:r>
          <a:endParaRPr lang="es-AR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24906</xdr:colOff>
      <xdr:row>2</xdr:row>
      <xdr:rowOff>0</xdr:rowOff>
    </xdr:from>
    <xdr:to>
      <xdr:col>37</xdr:col>
      <xdr:colOff>47625</xdr:colOff>
      <xdr:row>2</xdr:row>
      <xdr:rowOff>-1</xdr:rowOff>
    </xdr:to>
    <xdr:graphicFrame macro="">
      <xdr:nvGraphicFramePr>
        <xdr:cNvPr id="62" name="Gráfico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738186</xdr:colOff>
      <xdr:row>13</xdr:row>
      <xdr:rowOff>2581</xdr:rowOff>
    </xdr:from>
    <xdr:to>
      <xdr:col>15</xdr:col>
      <xdr:colOff>-1</xdr:colOff>
      <xdr:row>22</xdr:row>
      <xdr:rowOff>0</xdr:rowOff>
    </xdr:to>
    <xdr:graphicFrame macro="">
      <xdr:nvGraphicFramePr>
        <xdr:cNvPr id="68" name="Gráfico 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357186</xdr:colOff>
      <xdr:row>23</xdr:row>
      <xdr:rowOff>2581</xdr:rowOff>
    </xdr:from>
    <xdr:to>
      <xdr:col>15</xdr:col>
      <xdr:colOff>23811</xdr:colOff>
      <xdr:row>32</xdr:row>
      <xdr:rowOff>60158</xdr:rowOff>
    </xdr:to>
    <xdr:graphicFrame macro="">
      <xdr:nvGraphicFramePr>
        <xdr:cNvPr id="70" name="Gráfico 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-1</xdr:colOff>
      <xdr:row>33</xdr:row>
      <xdr:rowOff>2581</xdr:rowOff>
    </xdr:from>
    <xdr:to>
      <xdr:col>15</xdr:col>
      <xdr:colOff>47625</xdr:colOff>
      <xdr:row>42</xdr:row>
      <xdr:rowOff>60158</xdr:rowOff>
    </xdr:to>
    <xdr:graphicFrame macro="">
      <xdr:nvGraphicFramePr>
        <xdr:cNvPr id="71" name="Gráfico 7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761998</xdr:colOff>
      <xdr:row>3</xdr:row>
      <xdr:rowOff>2581</xdr:rowOff>
    </xdr:from>
    <xdr:to>
      <xdr:col>22</xdr:col>
      <xdr:colOff>-1</xdr:colOff>
      <xdr:row>12</xdr:row>
      <xdr:rowOff>60158</xdr:rowOff>
    </xdr:to>
    <xdr:graphicFrame macro="">
      <xdr:nvGraphicFramePr>
        <xdr:cNvPr id="72" name="Gráfico 7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-1</xdr:colOff>
      <xdr:row>13</xdr:row>
      <xdr:rowOff>2581</xdr:rowOff>
    </xdr:from>
    <xdr:to>
      <xdr:col>22</xdr:col>
      <xdr:colOff>0</xdr:colOff>
      <xdr:row>22</xdr:row>
      <xdr:rowOff>0</xdr:rowOff>
    </xdr:to>
    <xdr:graphicFrame macro="">
      <xdr:nvGraphicFramePr>
        <xdr:cNvPr id="74" name="Gráfico 7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23811</xdr:colOff>
      <xdr:row>22</xdr:row>
      <xdr:rowOff>264518</xdr:rowOff>
    </xdr:from>
    <xdr:to>
      <xdr:col>22</xdr:col>
      <xdr:colOff>-1</xdr:colOff>
      <xdr:row>31</xdr:row>
      <xdr:rowOff>322095</xdr:rowOff>
    </xdr:to>
    <xdr:graphicFrame macro="">
      <xdr:nvGraphicFramePr>
        <xdr:cNvPr id="76" name="Gráfico 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47623</xdr:colOff>
      <xdr:row>33</xdr:row>
      <xdr:rowOff>2581</xdr:rowOff>
    </xdr:from>
    <xdr:to>
      <xdr:col>22</xdr:col>
      <xdr:colOff>-1</xdr:colOff>
      <xdr:row>42</xdr:row>
      <xdr:rowOff>60158</xdr:rowOff>
    </xdr:to>
    <xdr:graphicFrame macro="">
      <xdr:nvGraphicFramePr>
        <xdr:cNvPr id="77" name="Gráfico 7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71437</xdr:colOff>
      <xdr:row>3</xdr:row>
      <xdr:rowOff>2581</xdr:rowOff>
    </xdr:from>
    <xdr:to>
      <xdr:col>29</xdr:col>
      <xdr:colOff>1143000</xdr:colOff>
      <xdr:row>12</xdr:row>
      <xdr:rowOff>10242</xdr:rowOff>
    </xdr:to>
    <xdr:graphicFrame macro="">
      <xdr:nvGraphicFramePr>
        <xdr:cNvPr id="78" name="Gráfico 7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26</xdr:col>
      <xdr:colOff>-1</xdr:colOff>
      <xdr:row>13</xdr:row>
      <xdr:rowOff>2581</xdr:rowOff>
    </xdr:from>
    <xdr:to>
      <xdr:col>29</xdr:col>
      <xdr:colOff>1197428</xdr:colOff>
      <xdr:row>22</xdr:row>
      <xdr:rowOff>10242</xdr:rowOff>
    </xdr:to>
    <xdr:graphicFrame macro="">
      <xdr:nvGraphicFramePr>
        <xdr:cNvPr id="79" name="Gráfico 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481724</xdr:colOff>
      <xdr:row>23</xdr:row>
      <xdr:rowOff>13529</xdr:rowOff>
    </xdr:from>
    <xdr:to>
      <xdr:col>29</xdr:col>
      <xdr:colOff>1259051</xdr:colOff>
      <xdr:row>32</xdr:row>
      <xdr:rowOff>10948</xdr:rowOff>
    </xdr:to>
    <xdr:graphicFrame macro="">
      <xdr:nvGraphicFramePr>
        <xdr:cNvPr id="80" name="Gráfico 7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492883</xdr:colOff>
      <xdr:row>33</xdr:row>
      <xdr:rowOff>26393</xdr:rowOff>
    </xdr:from>
    <xdr:to>
      <xdr:col>30</xdr:col>
      <xdr:colOff>0</xdr:colOff>
      <xdr:row>41</xdr:row>
      <xdr:rowOff>303929</xdr:rowOff>
    </xdr:to>
    <xdr:graphicFrame macro="">
      <xdr:nvGraphicFramePr>
        <xdr:cNvPr id="81" name="Gráfico 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34</xdr:col>
      <xdr:colOff>2346</xdr:colOff>
      <xdr:row>3</xdr:row>
      <xdr:rowOff>7344</xdr:rowOff>
    </xdr:from>
    <xdr:to>
      <xdr:col>36</xdr:col>
      <xdr:colOff>2884713</xdr:colOff>
      <xdr:row>11</xdr:row>
      <xdr:rowOff>309563</xdr:rowOff>
    </xdr:to>
    <xdr:graphicFrame macro="">
      <xdr:nvGraphicFramePr>
        <xdr:cNvPr id="82" name="Gráfico 8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26157</xdr:colOff>
      <xdr:row>13</xdr:row>
      <xdr:rowOff>2581</xdr:rowOff>
    </xdr:from>
    <xdr:to>
      <xdr:col>36</xdr:col>
      <xdr:colOff>2803071</xdr:colOff>
      <xdr:row>22</xdr:row>
      <xdr:rowOff>0</xdr:rowOff>
    </xdr:to>
    <xdr:graphicFrame macro="">
      <xdr:nvGraphicFramePr>
        <xdr:cNvPr id="83" name="Gráfico 8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426209</xdr:colOff>
      <xdr:row>22</xdr:row>
      <xdr:rowOff>326431</xdr:rowOff>
    </xdr:from>
    <xdr:to>
      <xdr:col>37</xdr:col>
      <xdr:colOff>71437</xdr:colOff>
      <xdr:row>32</xdr:row>
      <xdr:rowOff>47625</xdr:rowOff>
    </xdr:to>
    <xdr:graphicFrame macro="">
      <xdr:nvGraphicFramePr>
        <xdr:cNvPr id="84" name="Gráfico 8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304800</xdr:colOff>
      <xdr:row>14</xdr:row>
      <xdr:rowOff>304800</xdr:rowOff>
    </xdr:to>
    <xdr:sp macro="" textlink="">
      <xdr:nvSpPr>
        <xdr:cNvPr id="1025" name="AutoShape 1" descr="Transporte rápido PP Copolímero C5608m F800e Polipropileno para CPP - China Polipropileno  copolímero PP y plástico Pellets polipropileno PP precio"/>
        <xdr:cNvSpPr>
          <a:spLocks noChangeAspect="1" noChangeArrowheads="1"/>
        </xdr:cNvSpPr>
      </xdr:nvSpPr>
      <xdr:spPr bwMode="auto">
        <a:xfrm>
          <a:off x="14325600" y="44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738186</xdr:colOff>
      <xdr:row>3</xdr:row>
      <xdr:rowOff>2581</xdr:rowOff>
    </xdr:from>
    <xdr:to>
      <xdr:col>15</xdr:col>
      <xdr:colOff>-1</xdr:colOff>
      <xdr:row>12</xdr:row>
      <xdr:rowOff>0</xdr:rowOff>
    </xdr:to>
    <xdr:graphicFrame macro="">
      <xdr:nvGraphicFramePr>
        <xdr:cNvPr id="29" name="Gráfico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" name="AutoShape 1" descr="Transporte rápido PP Copolímero C5608m F800e Polipropileno para CPP - China Polipropileno  copolímero PP y plástico Pellets polipropileno PP precio"/>
        <xdr:cNvSpPr>
          <a:spLocks noChangeAspect="1" noChangeArrowheads="1"/>
        </xdr:cNvSpPr>
      </xdr:nvSpPr>
      <xdr:spPr bwMode="auto">
        <a:xfrm>
          <a:off x="15250026" y="594560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0.17699</cdr:y>
    </cdr:from>
    <cdr:to>
      <cdr:x>0.34223</cdr:x>
      <cdr:y>0.3066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650371"/>
          <a:ext cx="1116087" cy="4762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600">
              <a:solidFill>
                <a:sysClr val="windowText" lastClr="000000"/>
              </a:solidFill>
            </a:rPr>
            <a:t>FALTANTE</a:t>
          </a:r>
        </a:p>
      </cdr:txBody>
    </cdr:sp>
  </cdr:relSizeAnchor>
  <cdr:relSizeAnchor xmlns:cdr="http://schemas.openxmlformats.org/drawingml/2006/chartDrawing">
    <cdr:from>
      <cdr:x>0.68441</cdr:x>
      <cdr:y>0.48157</cdr:y>
    </cdr:from>
    <cdr:to>
      <cdr:x>1</cdr:x>
      <cdr:y>0.71234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232010" y="1769557"/>
          <a:ext cx="1029208" cy="847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ysClr val="windowText" lastClr="000000"/>
              </a:solidFill>
            </a:rPr>
            <a:t>EN STOCK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0.14673</cdr:y>
    </cdr:from>
    <cdr:to>
      <cdr:x>0.40242</cdr:x>
      <cdr:y>0.25958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04930"/>
          <a:ext cx="1318118" cy="3883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ysClr val="windowText" lastClr="000000"/>
              </a:solidFill>
            </a:rPr>
            <a:t>FALTANTE</a:t>
          </a:r>
        </a:p>
      </cdr:txBody>
    </cdr:sp>
  </cdr:relSizeAnchor>
  <cdr:relSizeAnchor xmlns:cdr="http://schemas.openxmlformats.org/drawingml/2006/chartDrawing">
    <cdr:from>
      <cdr:x>0.6874</cdr:x>
      <cdr:y>0.43258</cdr:y>
    </cdr:from>
    <cdr:to>
      <cdr:x>1</cdr:x>
      <cdr:y>0.65401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251569" y="1488582"/>
          <a:ext cx="1023937" cy="761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</a:t>
          </a:r>
          <a:r>
            <a:rPr lang="es-AR" sz="1800">
              <a:solidFill>
                <a:sysClr val="windowText" lastClr="000000"/>
              </a:solidFill>
            </a:rPr>
            <a:t>STOCK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0.65035</cdr:x>
      <cdr:y>0.16749</cdr:y>
    </cdr:from>
    <cdr:to>
      <cdr:x>0.83593</cdr:x>
      <cdr:y>0.24543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2647296" y="517633"/>
          <a:ext cx="755431" cy="240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100"/>
            <a:t>FALTANTE</a:t>
          </a:r>
        </a:p>
      </cdr:txBody>
    </cdr:sp>
  </cdr:relSizeAnchor>
  <cdr:relSizeAnchor xmlns:cdr="http://schemas.openxmlformats.org/drawingml/2006/chartDrawing">
    <cdr:from>
      <cdr:x>0.6638</cdr:x>
      <cdr:y>0.40485</cdr:y>
    </cdr:from>
    <cdr:to>
      <cdr:x>0.91662</cdr:x>
      <cdr:y>0.48278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702036" y="1251169"/>
          <a:ext cx="1029138" cy="240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100">
              <a:solidFill>
                <a:srgbClr val="00B0F0"/>
              </a:solidFill>
            </a:rPr>
            <a:t>EN STOCK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0.01508</cdr:x>
      <cdr:y>0.14373</cdr:y>
    </cdr:from>
    <cdr:to>
      <cdr:x>0.42427</cdr:x>
      <cdr:y>0.28846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49898" y="533916"/>
          <a:ext cx="1353945" cy="5376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0.7273</cdr:x>
      <cdr:y>0.80516</cdr:y>
    </cdr:from>
    <cdr:to>
      <cdr:x>0.98012</cdr:x>
      <cdr:y>0.88309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936963" y="2505281"/>
          <a:ext cx="1020924" cy="242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AR" sz="1100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0.10744</cdr:y>
    </cdr:from>
    <cdr:to>
      <cdr:x>0.35486</cdr:x>
      <cdr:y>0.22831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381000"/>
          <a:ext cx="1165719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0.65144</cdr:x>
      <cdr:y>0.53049</cdr:y>
    </cdr:from>
    <cdr:to>
      <cdr:x>0.9086</cdr:x>
      <cdr:y>0.71683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291248" y="1881195"/>
          <a:ext cx="904488" cy="660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0.16148</cdr:y>
    </cdr:from>
    <cdr:to>
      <cdr:x>0.34796</cdr:x>
      <cdr:y>0.25063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87890"/>
          <a:ext cx="1310782" cy="3245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0.65144</cdr:x>
      <cdr:y>0.47976</cdr:y>
    </cdr:from>
    <cdr:to>
      <cdr:x>0.90426</cdr:x>
      <cdr:y>0.70726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453993" y="1746688"/>
          <a:ext cx="952381" cy="8282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0.16054</cdr:y>
    </cdr:from>
    <cdr:to>
      <cdr:x>0.36111</cdr:x>
      <cdr:y>0.27723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50079"/>
          <a:ext cx="1238251" cy="3998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0.65144</cdr:x>
      <cdr:y>0.46487</cdr:y>
    </cdr:from>
    <cdr:to>
      <cdr:x>0.90426</cdr:x>
      <cdr:y>0.66642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233788" y="1592856"/>
          <a:ext cx="866920" cy="690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0.01587</cdr:x>
      <cdr:y>0.13632</cdr:y>
    </cdr:from>
    <cdr:to>
      <cdr:x>0.35172</cdr:x>
      <cdr:y>0.23621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54786" y="520741"/>
          <a:ext cx="1159652" cy="3815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ysClr val="windowText" lastClr="000000"/>
              </a:solidFill>
            </a:rPr>
            <a:t>FALTANTE</a:t>
          </a:r>
        </a:p>
      </cdr:txBody>
    </cdr:sp>
  </cdr:relSizeAnchor>
  <cdr:relSizeAnchor xmlns:cdr="http://schemas.openxmlformats.org/drawingml/2006/chartDrawing">
    <cdr:from>
      <cdr:x>0.65144</cdr:x>
      <cdr:y>0.49802</cdr:y>
    </cdr:from>
    <cdr:to>
      <cdr:x>0.93793</cdr:x>
      <cdr:y>0.72867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249299" y="1902418"/>
          <a:ext cx="989201" cy="8810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0.14363</cdr:y>
    </cdr:from>
    <cdr:to>
      <cdr:x>0.35616</cdr:x>
      <cdr:y>0.29453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21293"/>
          <a:ext cx="1238251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ysClr val="windowText" lastClr="000000"/>
              </a:solidFill>
            </a:rPr>
            <a:t>FALTANTE</a:t>
          </a:r>
        </a:p>
      </cdr:txBody>
    </cdr:sp>
  </cdr:relSizeAnchor>
  <cdr:relSizeAnchor xmlns:cdr="http://schemas.openxmlformats.org/drawingml/2006/chartDrawing">
    <cdr:from>
      <cdr:x>0.65144</cdr:x>
      <cdr:y>0.47167</cdr:y>
    </cdr:from>
    <cdr:to>
      <cdr:x>0.90426</cdr:x>
      <cdr:y>0.70726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264813" y="1711919"/>
          <a:ext cx="878961" cy="855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0.00094</cdr:x>
      <cdr:y>0.16749</cdr:y>
    </cdr:from>
    <cdr:to>
      <cdr:x>0.33889</cdr:x>
      <cdr:y>0.25664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3528" y="578099"/>
          <a:ext cx="1264832" cy="3077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0.65144</cdr:x>
      <cdr:y>0.4814</cdr:y>
    </cdr:from>
    <cdr:to>
      <cdr:x>0.90426</cdr:x>
      <cdr:y>0.70726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438124" y="1661557"/>
          <a:ext cx="946222" cy="7795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rgbClr val="00B0F0"/>
              </a:solidFill>
            </a:rPr>
            <a:t>EN STOCK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0.15246</cdr:y>
    </cdr:from>
    <cdr:to>
      <cdr:x>0.34161</cdr:x>
      <cdr:y>0.24161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55458"/>
          <a:ext cx="1204310" cy="32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0.65455</cdr:x>
      <cdr:y>0.49514</cdr:y>
    </cdr:from>
    <cdr:to>
      <cdr:x>0.90737</cdr:x>
      <cdr:y>0.69047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307499" y="1803884"/>
          <a:ext cx="891278" cy="7116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0.13215</cdr:y>
    </cdr:from>
    <cdr:to>
      <cdr:x>0.34339</cdr:x>
      <cdr:y>0.22438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450333"/>
          <a:ext cx="1202396" cy="314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0.64206</cdr:x>
      <cdr:y>0.51688</cdr:y>
    </cdr:from>
    <cdr:to>
      <cdr:x>0.89057</cdr:x>
      <cdr:y>0.73842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248194" y="1761409"/>
          <a:ext cx="870150" cy="754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0.11262</cdr:y>
    </cdr:from>
    <cdr:to>
      <cdr:x>0.38612</cdr:x>
      <cdr:y>0.23325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426927"/>
          <a:ext cx="1342808" cy="4573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0.66403</cdr:x>
      <cdr:y>0.50776</cdr:y>
    </cdr:from>
    <cdr:to>
      <cdr:x>0.94333</cdr:x>
      <cdr:y>0.71266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577392" y="1842888"/>
          <a:ext cx="1084086" cy="7436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0.12758</cdr:y>
    </cdr:from>
    <cdr:to>
      <cdr:x>0.33751</cdr:x>
      <cdr:y>0.24183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454915"/>
          <a:ext cx="1165718" cy="4074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0.66083</cdr:x>
      <cdr:y>0.44447</cdr:y>
    </cdr:from>
    <cdr:to>
      <cdr:x>0.93913</cdr:x>
      <cdr:y>0.63483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282443" y="1584920"/>
          <a:ext cx="961220" cy="678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0.00415</cdr:x>
      <cdr:y>0.12652</cdr:y>
    </cdr:from>
    <cdr:to>
      <cdr:x>0.33626</cdr:x>
      <cdr:y>0.22758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15543" y="473307"/>
          <a:ext cx="1243508" cy="378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0.65144</cdr:x>
      <cdr:y>0.50761</cdr:y>
    </cdr:from>
    <cdr:to>
      <cdr:x>0.90426</cdr:x>
      <cdr:y>0.70726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429734" y="1912445"/>
          <a:ext cx="942965" cy="7521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0.14044</cdr:y>
    </cdr:from>
    <cdr:to>
      <cdr:x>0.34356</cdr:x>
      <cdr:y>0.22959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11664"/>
          <a:ext cx="1226208" cy="32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0.65144</cdr:x>
      <cdr:y>0.50716</cdr:y>
    </cdr:from>
    <cdr:to>
      <cdr:x>0.90426</cdr:x>
      <cdr:y>0.70726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325079" y="1847679"/>
          <a:ext cx="902350" cy="7290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0.13153</cdr:y>
    </cdr:from>
    <cdr:to>
      <cdr:x>0.35282</cdr:x>
      <cdr:y>0.22068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440037"/>
          <a:ext cx="1251696" cy="298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0.65144</cdr:x>
      <cdr:y>0.47461</cdr:y>
    </cdr:from>
    <cdr:to>
      <cdr:x>0.90426</cdr:x>
      <cdr:y>0.70726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311128" y="1587843"/>
          <a:ext cx="896935" cy="778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0.14988</cdr:y>
    </cdr:from>
    <cdr:to>
      <cdr:x>0.34313</cdr:x>
      <cdr:y>0.23903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59179"/>
          <a:ext cx="1223861" cy="3325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0.65144</cdr:x>
      <cdr:y>0.51205</cdr:y>
    </cdr:from>
    <cdr:to>
      <cdr:x>0.90426</cdr:x>
      <cdr:y>0.70726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323551" y="1910356"/>
          <a:ext cx="901756" cy="728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0.14902</cdr:y>
    </cdr:from>
    <cdr:to>
      <cdr:x>0.33554</cdr:x>
      <cdr:y>0.23816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29839"/>
          <a:ext cx="1178152" cy="316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/>
            <a:t>FALTANTE</a:t>
          </a:r>
        </a:p>
      </cdr:txBody>
    </cdr:sp>
  </cdr:relSizeAnchor>
  <cdr:relSizeAnchor xmlns:cdr="http://schemas.openxmlformats.org/drawingml/2006/chartDrawing">
    <cdr:from>
      <cdr:x>0.65144</cdr:x>
      <cdr:y>0.5084</cdr:y>
    </cdr:from>
    <cdr:to>
      <cdr:x>0.90426</cdr:x>
      <cdr:y>0.7198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463617" y="1723825"/>
          <a:ext cx="956115" cy="7168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0.1425</cdr:y>
    </cdr:from>
    <cdr:to>
      <cdr:x>0.34111</cdr:x>
      <cdr:y>0.23165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14638"/>
          <a:ext cx="1298318" cy="3219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FALTANTE</a:t>
          </a:r>
        </a:p>
      </cdr:txBody>
    </cdr:sp>
  </cdr:relSizeAnchor>
  <cdr:relSizeAnchor xmlns:cdr="http://schemas.openxmlformats.org/drawingml/2006/chartDrawing">
    <cdr:from>
      <cdr:x>0.65144</cdr:x>
      <cdr:y>0.50374</cdr:y>
    </cdr:from>
    <cdr:to>
      <cdr:x>0.90426</cdr:x>
      <cdr:y>0.70726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479478" y="1819201"/>
          <a:ext cx="962270" cy="735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STOCK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0.6459</cdr:y>
    </cdr:from>
    <cdr:to>
      <cdr:x>0.19312</cdr:x>
      <cdr:y>0.90467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0" y="1557719"/>
          <a:ext cx="786088" cy="624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endParaRPr lang="es-AR" sz="1100"/>
        </a:p>
      </cdr:txBody>
    </cdr:sp>
  </cdr:relSizeAnchor>
  <cdr:relSizeAnchor xmlns:cdr="http://schemas.openxmlformats.org/drawingml/2006/chartDrawing">
    <cdr:from>
      <cdr:x>0</cdr:x>
      <cdr:y>0.16054</cdr:y>
    </cdr:from>
    <cdr:to>
      <cdr:x>0.36111</cdr:x>
      <cdr:y>0.27723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550079"/>
          <a:ext cx="1238251" cy="3998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ysClr val="windowText" lastClr="000000"/>
              </a:solidFill>
            </a:rPr>
            <a:t>FALTANTE</a:t>
          </a:r>
        </a:p>
      </cdr:txBody>
    </cdr:sp>
  </cdr:relSizeAnchor>
  <cdr:relSizeAnchor xmlns:cdr="http://schemas.openxmlformats.org/drawingml/2006/chartDrawing">
    <cdr:from>
      <cdr:x>0.69419</cdr:x>
      <cdr:y>0.35727</cdr:y>
    </cdr:from>
    <cdr:to>
      <cdr:x>0.94495</cdr:x>
      <cdr:y>0.78033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644864" y="1307106"/>
          <a:ext cx="955396" cy="15478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800">
              <a:solidFill>
                <a:schemeClr val="tx1"/>
              </a:solidFill>
            </a:rPr>
            <a:t>EN </a:t>
          </a:r>
          <a:r>
            <a:rPr lang="es-AR" sz="1800">
              <a:solidFill>
                <a:sysClr val="windowText" lastClr="000000"/>
              </a:solidFill>
            </a:rPr>
            <a:t>STOCK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1862477</xdr:colOff>
      <xdr:row>3</xdr:row>
      <xdr:rowOff>643081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70048" cy="12009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757464</xdr:colOff>
      <xdr:row>1</xdr:row>
      <xdr:rowOff>4536</xdr:rowOff>
    </xdr:from>
    <xdr:to>
      <xdr:col>11</xdr:col>
      <xdr:colOff>341869</xdr:colOff>
      <xdr:row>3</xdr:row>
      <xdr:rowOff>666750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8964" y="195036"/>
          <a:ext cx="2108530" cy="126546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296884</xdr:colOff>
      <xdr:row>0</xdr:row>
      <xdr:rowOff>0</xdr:rowOff>
    </xdr:from>
    <xdr:to>
      <xdr:col>9</xdr:col>
      <xdr:colOff>667786</xdr:colOff>
      <xdr:row>3</xdr:row>
      <xdr:rowOff>679540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7371" y="0"/>
          <a:ext cx="2251162" cy="134752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865707</xdr:colOff>
      <xdr:row>2</xdr:row>
      <xdr:rowOff>518205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90525"/>
          <a:ext cx="865707" cy="5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865707</xdr:colOff>
      <xdr:row>30</xdr:row>
      <xdr:rowOff>518205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6143625"/>
          <a:ext cx="865707" cy="5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865707</xdr:colOff>
      <xdr:row>54</xdr:row>
      <xdr:rowOff>518205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11306175"/>
          <a:ext cx="865707" cy="5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865707</xdr:colOff>
      <xdr:row>75</xdr:row>
      <xdr:rowOff>518205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15744825"/>
          <a:ext cx="865707" cy="5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865707</xdr:colOff>
      <xdr:row>96</xdr:row>
      <xdr:rowOff>518205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20116800"/>
          <a:ext cx="865707" cy="5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865707</xdr:colOff>
      <xdr:row>117</xdr:row>
      <xdr:rowOff>518205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24431625"/>
          <a:ext cx="865707" cy="5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865707</xdr:colOff>
      <xdr:row>138</xdr:row>
      <xdr:rowOff>518205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28889325"/>
          <a:ext cx="865707" cy="5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865707</xdr:colOff>
      <xdr:row>159</xdr:row>
      <xdr:rowOff>518205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3432750"/>
          <a:ext cx="865707" cy="5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865707</xdr:colOff>
      <xdr:row>180</xdr:row>
      <xdr:rowOff>518205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7928550"/>
          <a:ext cx="865707" cy="5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865707</xdr:colOff>
      <xdr:row>201</xdr:row>
      <xdr:rowOff>518205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42548175"/>
          <a:ext cx="865707" cy="518205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224</xdr:row>
      <xdr:rowOff>0</xdr:rowOff>
    </xdr:from>
    <xdr:ext cx="865707" cy="518205"/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42548175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247</xdr:row>
      <xdr:rowOff>0</xdr:rowOff>
    </xdr:from>
    <xdr:ext cx="865707" cy="518205"/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42548175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270</xdr:row>
      <xdr:rowOff>123825</xdr:rowOff>
    </xdr:from>
    <xdr:ext cx="865707" cy="518205"/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57750075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865707" cy="518205"/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3670875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865707" cy="518205"/>
    <xdr:pic>
      <xdr:nvPicPr>
        <xdr:cNvPr id="26" name="Imagen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3670875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292</xdr:row>
      <xdr:rowOff>123825</xdr:rowOff>
    </xdr:from>
    <xdr:ext cx="865707" cy="518205"/>
    <xdr:pic>
      <xdr:nvPicPr>
        <xdr:cNvPr id="28" name="Imagen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57750075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315</xdr:row>
      <xdr:rowOff>123825</xdr:rowOff>
    </xdr:from>
    <xdr:ext cx="865707" cy="518205"/>
    <xdr:pic>
      <xdr:nvPicPr>
        <xdr:cNvPr id="30" name="Imagen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57750075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337</xdr:row>
      <xdr:rowOff>123825</xdr:rowOff>
    </xdr:from>
    <xdr:ext cx="865707" cy="518205"/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42" y="67603158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358</xdr:row>
      <xdr:rowOff>123825</xdr:rowOff>
    </xdr:from>
    <xdr:ext cx="865707" cy="518205"/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42" y="67603158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383</xdr:row>
      <xdr:rowOff>123825</xdr:rowOff>
    </xdr:from>
    <xdr:ext cx="865707" cy="518205"/>
    <xdr:pic>
      <xdr:nvPicPr>
        <xdr:cNvPr id="31" name="Imagen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42" y="77159908"/>
          <a:ext cx="865707" cy="51820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9525</xdr:rowOff>
    </xdr:from>
    <xdr:to>
      <xdr:col>2</xdr:col>
      <xdr:colOff>160857</xdr:colOff>
      <xdr:row>1</xdr:row>
      <xdr:rowOff>527730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200025"/>
          <a:ext cx="865707" cy="518205"/>
        </a:xfrm>
        <a:prstGeom prst="rect">
          <a:avLst/>
        </a:prstGeom>
      </xdr:spPr>
    </xdr:pic>
    <xdr:clientData/>
  </xdr:twoCellAnchor>
  <xdr:oneCellAnchor>
    <xdr:from>
      <xdr:col>0</xdr:col>
      <xdr:colOff>228600</xdr:colOff>
      <xdr:row>13</xdr:row>
      <xdr:rowOff>161925</xdr:rowOff>
    </xdr:from>
    <xdr:ext cx="865707" cy="518205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095625"/>
          <a:ext cx="865707" cy="518205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27</xdr:row>
      <xdr:rowOff>9525</xdr:rowOff>
    </xdr:from>
    <xdr:ext cx="865707" cy="518205"/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200025"/>
          <a:ext cx="865707" cy="51820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865707</xdr:colOff>
      <xdr:row>2</xdr:row>
      <xdr:rowOff>327705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281" y="190500"/>
          <a:ext cx="865707" cy="51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206"/>
  <sheetViews>
    <sheetView zoomScale="32" zoomScaleNormal="32" workbookViewId="0">
      <selection activeCell="F47" sqref="F47"/>
    </sheetView>
  </sheetViews>
  <sheetFormatPr baseColWidth="10" defaultRowHeight="15" x14ac:dyDescent="0.25"/>
  <cols>
    <col min="1" max="1" width="2.140625" customWidth="1"/>
    <col min="2" max="2" width="0.7109375" style="5" customWidth="1"/>
    <col min="3" max="3" width="46.140625" style="5" customWidth="1"/>
    <col min="4" max="4" width="25.28515625" style="5" customWidth="1"/>
    <col min="5" max="5" width="4.5703125" customWidth="1"/>
    <col min="6" max="6" width="20" customWidth="1"/>
    <col min="8" max="8" width="20.5703125" customWidth="1"/>
    <col min="9" max="9" width="2.7109375" customWidth="1"/>
    <col min="10" max="10" width="40.7109375" customWidth="1"/>
    <col min="11" max="11" width="19.85546875" customWidth="1"/>
    <col min="12" max="12" width="5.28515625" customWidth="1"/>
    <col min="15" max="15" width="33.7109375" customWidth="1"/>
    <col min="16" max="16" width="3" customWidth="1"/>
    <col min="17" max="17" width="46.140625" customWidth="1"/>
    <col min="18" max="18" width="24.42578125" customWidth="1"/>
    <col min="19" max="19" width="6" customWidth="1"/>
    <col min="22" max="22" width="35.5703125" customWidth="1"/>
    <col min="23" max="23" width="3" customWidth="1"/>
    <col min="24" max="24" width="46.42578125" customWidth="1"/>
    <col min="25" max="25" width="19.140625" customWidth="1"/>
    <col min="26" max="26" width="7.42578125" customWidth="1"/>
    <col min="30" max="30" width="17.42578125" customWidth="1"/>
    <col min="31" max="31" width="4.5703125" customWidth="1"/>
    <col min="32" max="32" width="41" customWidth="1"/>
    <col min="33" max="33" width="22.85546875" customWidth="1"/>
    <col min="34" max="34" width="2.42578125" customWidth="1"/>
    <col min="37" max="37" width="33.85546875" customWidth="1"/>
  </cols>
  <sheetData>
    <row r="2" spans="2:37" ht="66" customHeight="1" x14ac:dyDescent="1.35">
      <c r="C2" s="244" t="s">
        <v>30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</row>
    <row r="3" spans="2:37" ht="15.75" thickBot="1" x14ac:dyDescent="0.3">
      <c r="AF3" s="5"/>
      <c r="AG3" s="5"/>
    </row>
    <row r="4" spans="2:37" ht="79.5" customHeight="1" thickBot="1" x14ac:dyDescent="0.3">
      <c r="C4" s="246" t="s">
        <v>14</v>
      </c>
      <c r="D4" s="247"/>
      <c r="J4" s="246" t="s">
        <v>4</v>
      </c>
      <c r="K4" s="252"/>
      <c r="Q4" s="250" t="s">
        <v>3</v>
      </c>
      <c r="R4" s="251"/>
      <c r="X4" s="28" t="s">
        <v>22</v>
      </c>
      <c r="Y4" s="31"/>
      <c r="AE4" s="5"/>
      <c r="AF4" s="28" t="s">
        <v>26</v>
      </c>
      <c r="AG4" s="29"/>
    </row>
    <row r="5" spans="2:37" ht="26.25" x14ac:dyDescent="0.4">
      <c r="C5" s="23" t="s">
        <v>13</v>
      </c>
      <c r="D5" s="24">
        <v>5000</v>
      </c>
      <c r="J5" s="23" t="s">
        <v>13</v>
      </c>
      <c r="K5" s="24" t="e">
        <f>STOCK!#REF!</f>
        <v>#REF!</v>
      </c>
      <c r="Q5" s="23" t="s">
        <v>13</v>
      </c>
      <c r="R5" s="24" t="e">
        <f>STOCK!#REF!</f>
        <v>#REF!</v>
      </c>
      <c r="X5" s="23" t="s">
        <v>13</v>
      </c>
      <c r="Y5" s="24">
        <f>STOCK!K9</f>
        <v>5000</v>
      </c>
      <c r="AE5" s="5"/>
      <c r="AF5" s="23" t="s">
        <v>13</v>
      </c>
      <c r="AG5" s="24" t="e">
        <f>STOCK!#REF!</f>
        <v>#REF!</v>
      </c>
    </row>
    <row r="6" spans="2:37" ht="26.25" x14ac:dyDescent="0.4">
      <c r="C6" s="14" t="s">
        <v>8</v>
      </c>
      <c r="D6" s="15" t="e">
        <f>STOCK!#REF!-STOCK!#REF!</f>
        <v>#REF!</v>
      </c>
      <c r="J6" s="14" t="s">
        <v>8</v>
      </c>
      <c r="K6" s="15" t="e">
        <f>STOCK!#REF!-STOCK!#REF!</f>
        <v>#REF!</v>
      </c>
      <c r="Q6" s="14" t="s">
        <v>8</v>
      </c>
      <c r="R6" s="15" t="e">
        <f>STOCK!#REF!-STOCK!#REF!</f>
        <v>#REF!</v>
      </c>
      <c r="X6" s="14" t="s">
        <v>8</v>
      </c>
      <c r="Y6" s="15">
        <f>STOCK!K9-STOCK!F9</f>
        <v>4625</v>
      </c>
      <c r="AE6" s="5"/>
      <c r="AF6" s="14" t="s">
        <v>8</v>
      </c>
      <c r="AG6" s="15" t="e">
        <f>STOCK!#REF!-STOCK!#REF!</f>
        <v>#REF!</v>
      </c>
    </row>
    <row r="7" spans="2:37" ht="26.25" x14ac:dyDescent="0.4">
      <c r="C7" s="14" t="s">
        <v>11</v>
      </c>
      <c r="D7" s="15" t="e">
        <f>STOCK!#REF!+STOCK!#REF!</f>
        <v>#REF!</v>
      </c>
      <c r="J7" s="14" t="s">
        <v>11</v>
      </c>
      <c r="K7" s="15" t="e">
        <f>STOCK!#REF!</f>
        <v>#REF!</v>
      </c>
      <c r="Q7" s="14" t="s">
        <v>11</v>
      </c>
      <c r="R7" s="15">
        <f>STOCK!F13</f>
        <v>87.555000000000007</v>
      </c>
      <c r="X7" s="14" t="s">
        <v>11</v>
      </c>
      <c r="Y7" s="15">
        <f>STOCK!F9</f>
        <v>375</v>
      </c>
      <c r="AE7" s="5"/>
      <c r="AF7" s="14" t="s">
        <v>11</v>
      </c>
      <c r="AG7" s="15" t="e">
        <f>STOCK!#REF!</f>
        <v>#REF!</v>
      </c>
    </row>
    <row r="8" spans="2:37" ht="26.25" x14ac:dyDescent="0.4">
      <c r="C8" s="21" t="s">
        <v>7</v>
      </c>
      <c r="D8" s="22" t="e">
        <f>STOCK!#REF!</f>
        <v>#REF!</v>
      </c>
      <c r="J8" s="21" t="s">
        <v>7</v>
      </c>
      <c r="K8" s="27" t="e">
        <f>STOCK!#REF!</f>
        <v>#REF!</v>
      </c>
      <c r="Q8" s="21" t="s">
        <v>7</v>
      </c>
      <c r="R8" s="27" t="e">
        <f>STOCK!#REF!</f>
        <v>#REF!</v>
      </c>
      <c r="X8" s="21" t="s">
        <v>7</v>
      </c>
      <c r="Y8" s="27">
        <f>STOCK!J9</f>
        <v>3000</v>
      </c>
      <c r="AE8" s="5"/>
      <c r="AF8" s="21" t="s">
        <v>7</v>
      </c>
      <c r="AG8" s="27" t="e">
        <f>STOCK!#REF!</f>
        <v>#REF!</v>
      </c>
    </row>
    <row r="9" spans="2:37" ht="26.25" x14ac:dyDescent="0.4">
      <c r="C9" s="14" t="s">
        <v>6</v>
      </c>
      <c r="D9" s="16">
        <v>0.1</v>
      </c>
      <c r="J9" s="14" t="s">
        <v>6</v>
      </c>
      <c r="K9" s="16">
        <v>0.1</v>
      </c>
      <c r="Q9" s="14" t="s">
        <v>6</v>
      </c>
      <c r="R9" s="16">
        <v>0.1</v>
      </c>
      <c r="X9" s="14" t="s">
        <v>6</v>
      </c>
      <c r="Y9" s="16">
        <v>0.1</v>
      </c>
      <c r="AE9" s="5"/>
      <c r="AF9" s="14" t="s">
        <v>6</v>
      </c>
      <c r="AG9" s="16">
        <v>0.1</v>
      </c>
    </row>
    <row r="10" spans="2:37" ht="26.25" x14ac:dyDescent="0.4">
      <c r="B10" s="12"/>
      <c r="C10" s="14" t="s">
        <v>9</v>
      </c>
      <c r="D10" s="16" t="e">
        <f>+(D5-D6)/D5</f>
        <v>#REF!</v>
      </c>
      <c r="J10" s="14" t="s">
        <v>9</v>
      </c>
      <c r="K10" s="16" t="e">
        <f>+(K5-K6)/K5</f>
        <v>#REF!</v>
      </c>
      <c r="Q10" s="14" t="s">
        <v>9</v>
      </c>
      <c r="R10" s="16" t="e">
        <f>+(R5-R6)/R5</f>
        <v>#REF!</v>
      </c>
      <c r="X10" s="14" t="s">
        <v>9</v>
      </c>
      <c r="Y10" s="16">
        <f>+(Y5-Y6)/Y5</f>
        <v>7.4999999999999997E-2</v>
      </c>
      <c r="AE10" s="5"/>
      <c r="AF10" s="14" t="s">
        <v>9</v>
      </c>
      <c r="AG10" s="16" t="e">
        <f>+(AG5-AG6)/AG5</f>
        <v>#REF!</v>
      </c>
    </row>
    <row r="11" spans="2:37" ht="26.25" x14ac:dyDescent="0.4">
      <c r="B11" s="12"/>
      <c r="C11" s="17" t="s">
        <v>10</v>
      </c>
      <c r="D11" s="18" t="e">
        <f>1-D10</f>
        <v>#REF!</v>
      </c>
      <c r="J11" s="17" t="s">
        <v>10</v>
      </c>
      <c r="K11" s="18" t="e">
        <f>1-K10</f>
        <v>#REF!</v>
      </c>
      <c r="Q11" s="17" t="s">
        <v>10</v>
      </c>
      <c r="R11" s="18" t="e">
        <f>1-R10</f>
        <v>#REF!</v>
      </c>
      <c r="X11" s="17" t="s">
        <v>10</v>
      </c>
      <c r="Y11" s="18">
        <f>1-Y10</f>
        <v>0.92500000000000004</v>
      </c>
      <c r="AE11" s="5"/>
      <c r="AF11" s="17" t="s">
        <v>10</v>
      </c>
      <c r="AG11" s="18" t="e">
        <f>1-AG10</f>
        <v>#REF!</v>
      </c>
    </row>
    <row r="12" spans="2:37" ht="27" thickBot="1" x14ac:dyDescent="0.45">
      <c r="C12" s="19" t="s">
        <v>6</v>
      </c>
      <c r="D12" s="20">
        <v>0.1</v>
      </c>
      <c r="J12" s="19" t="s">
        <v>6</v>
      </c>
      <c r="K12" s="20">
        <v>0.1</v>
      </c>
      <c r="Q12" s="19" t="s">
        <v>6</v>
      </c>
      <c r="R12" s="20">
        <v>0.1</v>
      </c>
      <c r="X12" s="19" t="s">
        <v>6</v>
      </c>
      <c r="Y12" s="20">
        <v>0.1</v>
      </c>
      <c r="AE12" s="5"/>
      <c r="AF12" s="19" t="s">
        <v>6</v>
      </c>
      <c r="AG12" s="20">
        <v>0.1</v>
      </c>
      <c r="AH12" s="5"/>
    </row>
    <row r="13" spans="2:37" ht="23.25" customHeight="1" thickBot="1" x14ac:dyDescent="0.3">
      <c r="J13" s="5"/>
      <c r="K13" s="5"/>
      <c r="X13" s="5"/>
      <c r="Y13" s="5"/>
      <c r="Z13" s="5"/>
      <c r="AE13" s="5"/>
      <c r="AF13" s="5"/>
      <c r="AG13" s="5"/>
      <c r="AH13" s="5"/>
    </row>
    <row r="14" spans="2:37" ht="99" customHeight="1" thickBot="1" x14ac:dyDescent="0.3">
      <c r="C14" s="246" t="s">
        <v>12</v>
      </c>
      <c r="D14" s="247"/>
      <c r="J14" s="246" t="s">
        <v>16</v>
      </c>
      <c r="K14" s="252"/>
      <c r="Q14" s="248" t="s">
        <v>20</v>
      </c>
      <c r="R14" s="249"/>
      <c r="X14" s="246" t="s">
        <v>23</v>
      </c>
      <c r="Y14" s="247"/>
      <c r="AE14" s="5"/>
      <c r="AF14" s="28" t="s">
        <v>27</v>
      </c>
      <c r="AG14" s="29"/>
    </row>
    <row r="15" spans="2:37" ht="26.25" x14ac:dyDescent="0.4">
      <c r="C15" s="23" t="s">
        <v>13</v>
      </c>
      <c r="D15" s="24">
        <v>25000</v>
      </c>
      <c r="J15" s="23" t="s">
        <v>13</v>
      </c>
      <c r="K15" s="24" t="e">
        <f>STOCK!#REF!</f>
        <v>#REF!</v>
      </c>
      <c r="Q15" s="23" t="s">
        <v>13</v>
      </c>
      <c r="R15" s="24" t="e">
        <f>STOCK!#REF!</f>
        <v>#REF!</v>
      </c>
      <c r="X15" s="23" t="s">
        <v>13</v>
      </c>
      <c r="Y15" s="24" t="e">
        <f>STOCK!#REF!</f>
        <v>#REF!</v>
      </c>
      <c r="AE15" s="5"/>
      <c r="AF15" s="23" t="s">
        <v>13</v>
      </c>
      <c r="AG15" s="24">
        <f>STOCK!K13</f>
        <v>75</v>
      </c>
    </row>
    <row r="16" spans="2:37" ht="26.25" x14ac:dyDescent="0.4">
      <c r="C16" s="14" t="s">
        <v>8</v>
      </c>
      <c r="D16" s="15" t="e">
        <f>STOCK!#REF!-STOCK!#REF!</f>
        <v>#REF!</v>
      </c>
      <c r="J16" s="14" t="s">
        <v>8</v>
      </c>
      <c r="K16" s="15" t="e">
        <f>STOCK!#REF!-STOCK!#REF!</f>
        <v>#REF!</v>
      </c>
      <c r="Q16" s="14" t="s">
        <v>8</v>
      </c>
      <c r="R16" s="15" t="e">
        <f>STOCK!#REF!-STOCK!#REF!</f>
        <v>#REF!</v>
      </c>
      <c r="X16" s="14" t="s">
        <v>8</v>
      </c>
      <c r="Y16" s="15" t="e">
        <f>STOCK!#REF!-STOCK!#REF!</f>
        <v>#REF!</v>
      </c>
      <c r="AE16" s="5"/>
      <c r="AF16" s="14" t="s">
        <v>8</v>
      </c>
      <c r="AG16" s="15">
        <f>STOCK!K13-STOCK!F13</f>
        <v>-12.555000000000007</v>
      </c>
    </row>
    <row r="17" spans="2:34" ht="26.25" x14ac:dyDescent="0.4">
      <c r="C17" s="14" t="s">
        <v>11</v>
      </c>
      <c r="D17" s="15" t="e">
        <f>GRAFICOS!D15-GRAFICOS!D16</f>
        <v>#REF!</v>
      </c>
      <c r="J17" s="14" t="s">
        <v>11</v>
      </c>
      <c r="K17" s="15" t="e">
        <f>STOCK!#REF!</f>
        <v>#REF!</v>
      </c>
      <c r="Q17" s="14" t="s">
        <v>11</v>
      </c>
      <c r="R17" s="15" t="e">
        <f>STOCK!#REF!</f>
        <v>#REF!</v>
      </c>
      <c r="X17" s="14" t="s">
        <v>11</v>
      </c>
      <c r="Y17" s="15" t="e">
        <f>STOCK!#REF!</f>
        <v>#REF!</v>
      </c>
      <c r="AE17" s="5"/>
      <c r="AF17" s="14" t="s">
        <v>11</v>
      </c>
      <c r="AG17" s="15">
        <f>STOCK!F13</f>
        <v>87.555000000000007</v>
      </c>
    </row>
    <row r="18" spans="2:34" ht="26.25" x14ac:dyDescent="0.4">
      <c r="C18" s="21" t="s">
        <v>7</v>
      </c>
      <c r="D18" s="22">
        <v>5000</v>
      </c>
      <c r="J18" s="21" t="s">
        <v>7</v>
      </c>
      <c r="K18" s="27" t="e">
        <f>STOCK!#REF!</f>
        <v>#REF!</v>
      </c>
      <c r="Q18" s="21" t="s">
        <v>7</v>
      </c>
      <c r="R18" s="27" t="e">
        <f>STOCK!#REF!</f>
        <v>#REF!</v>
      </c>
      <c r="X18" s="21" t="s">
        <v>7</v>
      </c>
      <c r="Y18" s="27" t="e">
        <f>STOCK!#REF!</f>
        <v>#REF!</v>
      </c>
      <c r="AE18" s="5"/>
      <c r="AF18" s="21" t="s">
        <v>7</v>
      </c>
      <c r="AG18" s="27">
        <f>STOCK!J13</f>
        <v>25</v>
      </c>
    </row>
    <row r="19" spans="2:34" ht="26.25" x14ac:dyDescent="0.4">
      <c r="C19" s="14" t="s">
        <v>6</v>
      </c>
      <c r="D19" s="16">
        <v>0.1</v>
      </c>
      <c r="J19" s="14" t="s">
        <v>6</v>
      </c>
      <c r="K19" s="16">
        <v>0.1</v>
      </c>
      <c r="Q19" s="14" t="s">
        <v>6</v>
      </c>
      <c r="R19" s="16">
        <v>0.1</v>
      </c>
      <c r="X19" s="14" t="s">
        <v>6</v>
      </c>
      <c r="Y19" s="16">
        <v>0.1</v>
      </c>
      <c r="AE19" s="5"/>
      <c r="AF19" s="14" t="s">
        <v>6</v>
      </c>
      <c r="AG19" s="16">
        <v>0.1</v>
      </c>
    </row>
    <row r="20" spans="2:34" ht="26.25" x14ac:dyDescent="0.4">
      <c r="C20" s="14" t="s">
        <v>9</v>
      </c>
      <c r="D20" s="16" t="e">
        <f>+(D15-D16)/D15</f>
        <v>#REF!</v>
      </c>
      <c r="J20" s="14" t="s">
        <v>9</v>
      </c>
      <c r="K20" s="16" t="e">
        <f>+(K15-K16)/K15</f>
        <v>#REF!</v>
      </c>
      <c r="Q20" s="14" t="s">
        <v>9</v>
      </c>
      <c r="R20" s="16" t="e">
        <f>+(R15-R16)/R15</f>
        <v>#REF!</v>
      </c>
      <c r="X20" s="14" t="s">
        <v>9</v>
      </c>
      <c r="Y20" s="16" t="e">
        <f>+(Y15-Y16)/Y15</f>
        <v>#REF!</v>
      </c>
      <c r="AE20" s="5"/>
      <c r="AF20" s="14" t="s">
        <v>9</v>
      </c>
      <c r="AG20" s="16">
        <f>+(AG15-AG16)/AG15</f>
        <v>1.1674</v>
      </c>
    </row>
    <row r="21" spans="2:34" ht="26.25" x14ac:dyDescent="0.4">
      <c r="C21" s="17" t="s">
        <v>10</v>
      </c>
      <c r="D21" s="18" t="e">
        <f>1-D20</f>
        <v>#REF!</v>
      </c>
      <c r="J21" s="17" t="s">
        <v>10</v>
      </c>
      <c r="K21" s="18" t="e">
        <f>1-K20</f>
        <v>#REF!</v>
      </c>
      <c r="Q21" s="17" t="s">
        <v>10</v>
      </c>
      <c r="R21" s="18" t="e">
        <f>1-R20</f>
        <v>#REF!</v>
      </c>
      <c r="X21" s="17" t="s">
        <v>10</v>
      </c>
      <c r="Y21" s="18" t="e">
        <f>1-Y20</f>
        <v>#REF!</v>
      </c>
      <c r="AE21" s="5"/>
      <c r="AF21" s="17" t="s">
        <v>10</v>
      </c>
      <c r="AG21" s="18">
        <f>1-AG20</f>
        <v>-0.16739999999999999</v>
      </c>
    </row>
    <row r="22" spans="2:34" ht="27" thickBot="1" x14ac:dyDescent="0.45">
      <c r="C22" s="19" t="s">
        <v>6</v>
      </c>
      <c r="D22" s="20">
        <v>0.1</v>
      </c>
      <c r="J22" s="19" t="s">
        <v>6</v>
      </c>
      <c r="K22" s="20">
        <v>0.1</v>
      </c>
      <c r="Q22" s="19" t="s">
        <v>6</v>
      </c>
      <c r="R22" s="20">
        <v>0.1</v>
      </c>
      <c r="X22" s="19" t="s">
        <v>6</v>
      </c>
      <c r="Y22" s="20">
        <v>0.1</v>
      </c>
      <c r="AE22" s="5"/>
      <c r="AF22" s="19" t="s">
        <v>6</v>
      </c>
      <c r="AG22" s="20">
        <v>0.1</v>
      </c>
    </row>
    <row r="23" spans="2:34" ht="27" customHeight="1" thickBot="1" x14ac:dyDescent="0.3">
      <c r="J23" s="5"/>
      <c r="K23" s="5"/>
      <c r="L23" s="5"/>
      <c r="AF23" s="5"/>
      <c r="AG23" s="5"/>
      <c r="AH23" s="5"/>
    </row>
    <row r="24" spans="2:34" ht="110.25" customHeight="1" thickBot="1" x14ac:dyDescent="0.3">
      <c r="C24" s="246" t="s">
        <v>15</v>
      </c>
      <c r="D24" s="252"/>
      <c r="J24" s="246" t="s">
        <v>17</v>
      </c>
      <c r="K24" s="252"/>
      <c r="Q24" s="30" t="s">
        <v>21</v>
      </c>
      <c r="R24" s="32"/>
      <c r="W24" s="5"/>
      <c r="X24" s="248" t="s">
        <v>24</v>
      </c>
      <c r="Y24" s="249"/>
      <c r="AF24" s="246" t="s">
        <v>29</v>
      </c>
      <c r="AG24" s="252"/>
    </row>
    <row r="25" spans="2:34" ht="26.25" x14ac:dyDescent="0.4">
      <c r="C25" s="23" t="s">
        <v>13</v>
      </c>
      <c r="D25" s="26">
        <v>1500</v>
      </c>
      <c r="J25" s="23" t="s">
        <v>13</v>
      </c>
      <c r="K25" s="24" t="e">
        <f>STOCK!#REF!</f>
        <v>#REF!</v>
      </c>
      <c r="Q25" s="23" t="s">
        <v>13</v>
      </c>
      <c r="R25" s="24" t="e">
        <f>STOCK!#REF!</f>
        <v>#REF!</v>
      </c>
      <c r="W25" s="5"/>
      <c r="X25" s="23" t="s">
        <v>13</v>
      </c>
      <c r="Y25" s="24">
        <f>STOCK!K12</f>
        <v>75</v>
      </c>
      <c r="AF25" s="23" t="s">
        <v>13</v>
      </c>
      <c r="AG25" s="24" t="e">
        <f>STOCK!#REF!</f>
        <v>#REF!</v>
      </c>
    </row>
    <row r="26" spans="2:34" ht="26.25" x14ac:dyDescent="0.4">
      <c r="C26" s="14" t="s">
        <v>8</v>
      </c>
      <c r="D26" s="15" t="e">
        <f>STOCK!#REF!-STOCK!#REF!</f>
        <v>#REF!</v>
      </c>
      <c r="J26" s="14" t="s">
        <v>8</v>
      </c>
      <c r="K26" s="15" t="e">
        <f>STOCK!#REF!-STOCK!#REF!</f>
        <v>#REF!</v>
      </c>
      <c r="Q26" s="14" t="s">
        <v>8</v>
      </c>
      <c r="R26" s="15" t="e">
        <f>STOCK!#REF!-STOCK!#REF!</f>
        <v>#REF!</v>
      </c>
      <c r="W26" s="5"/>
      <c r="X26" s="14" t="s">
        <v>8</v>
      </c>
      <c r="Y26" s="15">
        <f>STOCK!K12-STOCK!F12</f>
        <v>52.620000000000005</v>
      </c>
      <c r="AF26" s="14" t="s">
        <v>8</v>
      </c>
      <c r="AG26" s="15" t="e">
        <f>STOCK!#REF!-STOCK!#REF!</f>
        <v>#REF!</v>
      </c>
    </row>
    <row r="27" spans="2:34" ht="26.25" x14ac:dyDescent="0.4">
      <c r="C27" s="14" t="s">
        <v>11</v>
      </c>
      <c r="D27" s="15" t="e">
        <f>D25-D26</f>
        <v>#REF!</v>
      </c>
      <c r="J27" s="14" t="s">
        <v>11</v>
      </c>
      <c r="K27" s="15" t="e">
        <f>STOCK!#REF!</f>
        <v>#REF!</v>
      </c>
      <c r="Q27" s="14" t="s">
        <v>11</v>
      </c>
      <c r="R27" s="15" t="e">
        <f>STOCK!#REF!</f>
        <v>#REF!</v>
      </c>
      <c r="W27" s="5"/>
      <c r="X27" s="14" t="s">
        <v>11</v>
      </c>
      <c r="Y27" s="15">
        <f>STOCK!F12</f>
        <v>22.38</v>
      </c>
      <c r="AF27" s="14" t="s">
        <v>11</v>
      </c>
      <c r="AG27" s="15">
        <f>STOCK!F13</f>
        <v>87.555000000000007</v>
      </c>
    </row>
    <row r="28" spans="2:34" ht="26.25" x14ac:dyDescent="0.4">
      <c r="B28" s="13"/>
      <c r="C28" s="21" t="s">
        <v>7</v>
      </c>
      <c r="D28" s="22">
        <v>500</v>
      </c>
      <c r="J28" s="21" t="s">
        <v>7</v>
      </c>
      <c r="K28" s="27" t="e">
        <f>STOCK!#REF!</f>
        <v>#REF!</v>
      </c>
      <c r="Q28" s="21" t="s">
        <v>7</v>
      </c>
      <c r="R28" s="27" t="e">
        <f>STOCK!#REF!</f>
        <v>#REF!</v>
      </c>
      <c r="W28" s="5"/>
      <c r="X28" s="21" t="s">
        <v>7</v>
      </c>
      <c r="Y28" s="27">
        <f>STOCK!J12</f>
        <v>25</v>
      </c>
      <c r="AF28" s="21" t="s">
        <v>7</v>
      </c>
      <c r="AG28" s="27" t="e">
        <f>STOCK!#REF!</f>
        <v>#REF!</v>
      </c>
    </row>
    <row r="29" spans="2:34" ht="33" customHeight="1" x14ac:dyDescent="0.4">
      <c r="C29" s="14" t="s">
        <v>6</v>
      </c>
      <c r="D29" s="16">
        <v>0.1</v>
      </c>
      <c r="J29" s="14" t="s">
        <v>6</v>
      </c>
      <c r="K29" s="16">
        <v>0.1</v>
      </c>
      <c r="Q29" s="14" t="s">
        <v>6</v>
      </c>
      <c r="R29" s="16">
        <v>0.1</v>
      </c>
      <c r="W29" s="5"/>
      <c r="X29" s="14" t="s">
        <v>6</v>
      </c>
      <c r="Y29" s="16">
        <v>0.1</v>
      </c>
      <c r="AF29" s="14" t="s">
        <v>6</v>
      </c>
      <c r="AG29" s="16">
        <v>0.1</v>
      </c>
    </row>
    <row r="30" spans="2:34" ht="26.25" x14ac:dyDescent="0.4">
      <c r="C30" s="14" t="s">
        <v>9</v>
      </c>
      <c r="D30" s="16" t="e">
        <f>+(D25-D26)/D25</f>
        <v>#REF!</v>
      </c>
      <c r="J30" s="14" t="s">
        <v>9</v>
      </c>
      <c r="K30" s="16" t="e">
        <f>+(K25-K26)/K25</f>
        <v>#REF!</v>
      </c>
      <c r="Q30" s="14" t="s">
        <v>9</v>
      </c>
      <c r="R30" s="16" t="e">
        <f>+(R25-R26)/R25</f>
        <v>#REF!</v>
      </c>
      <c r="W30" s="5"/>
      <c r="X30" s="14" t="s">
        <v>9</v>
      </c>
      <c r="Y30" s="16">
        <f>+(Y25-Y26)/Y25</f>
        <v>0.29839999999999994</v>
      </c>
      <c r="AF30" s="14" t="s">
        <v>9</v>
      </c>
      <c r="AG30" s="16" t="e">
        <f>+(AG25-AG26)/AG25</f>
        <v>#REF!</v>
      </c>
    </row>
    <row r="31" spans="2:34" ht="26.25" x14ac:dyDescent="0.4">
      <c r="C31" s="17" t="s">
        <v>10</v>
      </c>
      <c r="D31" s="18" t="e">
        <f>1-D30</f>
        <v>#REF!</v>
      </c>
      <c r="J31" s="17" t="s">
        <v>10</v>
      </c>
      <c r="K31" s="18" t="e">
        <f>1-K30</f>
        <v>#REF!</v>
      </c>
      <c r="Q31" s="17" t="s">
        <v>10</v>
      </c>
      <c r="R31" s="18" t="e">
        <f>1-R30</f>
        <v>#REF!</v>
      </c>
      <c r="W31" s="5"/>
      <c r="X31" s="17" t="s">
        <v>10</v>
      </c>
      <c r="Y31" s="18">
        <f>1-Y30</f>
        <v>0.7016</v>
      </c>
      <c r="AF31" s="17" t="s">
        <v>10</v>
      </c>
      <c r="AG31" s="18" t="e">
        <f>1-AG30</f>
        <v>#REF!</v>
      </c>
    </row>
    <row r="32" spans="2:34" ht="27" thickBot="1" x14ac:dyDescent="0.45">
      <c r="C32" s="19" t="s">
        <v>6</v>
      </c>
      <c r="D32" s="20">
        <v>0.1</v>
      </c>
      <c r="J32" s="19" t="s">
        <v>6</v>
      </c>
      <c r="K32" s="20">
        <v>0.1</v>
      </c>
      <c r="Q32" s="19" t="s">
        <v>6</v>
      </c>
      <c r="R32" s="20">
        <v>0.1</v>
      </c>
      <c r="S32" s="5"/>
      <c r="W32" s="5"/>
      <c r="X32" s="19" t="s">
        <v>6</v>
      </c>
      <c r="Y32" s="20">
        <v>0.1</v>
      </c>
      <c r="AF32" s="19" t="s">
        <v>6</v>
      </c>
      <c r="AG32" s="20">
        <v>0.1</v>
      </c>
      <c r="AH32" s="5"/>
    </row>
    <row r="33" spans="2:33" ht="25.5" customHeight="1" thickBot="1" x14ac:dyDescent="0.3">
      <c r="C33"/>
      <c r="D33"/>
      <c r="J33" s="5"/>
      <c r="K33" s="5"/>
      <c r="L33" s="5"/>
      <c r="Q33" s="5"/>
      <c r="R33" s="5"/>
      <c r="S33" s="5"/>
      <c r="W33" s="5"/>
      <c r="AF33" s="5"/>
      <c r="AG33" s="5"/>
    </row>
    <row r="34" spans="2:33" ht="97.5" customHeight="1" thickBot="1" x14ac:dyDescent="0.3">
      <c r="C34" s="250" t="s">
        <v>5</v>
      </c>
      <c r="D34" s="251"/>
      <c r="J34" s="246" t="s">
        <v>18</v>
      </c>
      <c r="K34" s="252"/>
      <c r="Q34" s="253" t="s">
        <v>28</v>
      </c>
      <c r="R34" s="247"/>
      <c r="W34" s="5"/>
      <c r="X34" s="248" t="s">
        <v>25</v>
      </c>
      <c r="Y34" s="249"/>
    </row>
    <row r="35" spans="2:33" ht="26.25" x14ac:dyDescent="0.4">
      <c r="C35" s="23" t="s">
        <v>13</v>
      </c>
      <c r="D35" s="24">
        <f>STOCK!K8</f>
        <v>200</v>
      </c>
      <c r="J35" s="23" t="s">
        <v>13</v>
      </c>
      <c r="K35" s="24" t="e">
        <f>STOCK!#REF!</f>
        <v>#REF!</v>
      </c>
      <c r="Q35" s="23" t="s">
        <v>13</v>
      </c>
      <c r="R35" s="24" t="e">
        <f>STOCK!#REF!</f>
        <v>#REF!</v>
      </c>
      <c r="W35" s="5"/>
      <c r="X35" s="23" t="s">
        <v>13</v>
      </c>
      <c r="Y35" s="24" t="e">
        <f>STOCK!#REF!</f>
        <v>#REF!</v>
      </c>
    </row>
    <row r="36" spans="2:33" ht="26.25" x14ac:dyDescent="0.4">
      <c r="C36" s="14" t="s">
        <v>8</v>
      </c>
      <c r="D36" s="15">
        <f>STOCK!K8-STOCK!F8</f>
        <v>200</v>
      </c>
      <c r="J36" s="14" t="s">
        <v>8</v>
      </c>
      <c r="K36" s="15" t="e">
        <f>STOCK!#REF!-STOCK!#REF!</f>
        <v>#REF!</v>
      </c>
      <c r="Q36" s="14" t="s">
        <v>8</v>
      </c>
      <c r="R36" s="15" t="e">
        <f>STOCK!#REF!-STOCK!#REF!</f>
        <v>#REF!</v>
      </c>
      <c r="W36" s="5"/>
      <c r="X36" s="14" t="s">
        <v>8</v>
      </c>
      <c r="Y36" s="15" t="e">
        <f>STOCK!#REF!-STOCK!#REF!</f>
        <v>#REF!</v>
      </c>
    </row>
    <row r="37" spans="2:33" ht="26.25" x14ac:dyDescent="0.4">
      <c r="C37" s="14" t="s">
        <v>11</v>
      </c>
      <c r="D37" s="15">
        <f>STOCK!F8</f>
        <v>0</v>
      </c>
      <c r="J37" s="14" t="s">
        <v>11</v>
      </c>
      <c r="K37" s="15" t="e">
        <f>STOCK!#REF!</f>
        <v>#REF!</v>
      </c>
      <c r="Q37" s="14" t="s">
        <v>11</v>
      </c>
      <c r="R37" s="15" t="e">
        <f>STOCK!#REF!</f>
        <v>#REF!</v>
      </c>
      <c r="W37" s="5"/>
      <c r="X37" s="14" t="s">
        <v>11</v>
      </c>
      <c r="Y37" s="15" t="e">
        <f>STOCK!#REF!</f>
        <v>#REF!</v>
      </c>
    </row>
    <row r="38" spans="2:33" ht="26.25" x14ac:dyDescent="0.4">
      <c r="C38" s="21" t="s">
        <v>7</v>
      </c>
      <c r="D38" s="27">
        <f>STOCK!J8</f>
        <v>100</v>
      </c>
      <c r="J38" s="21" t="s">
        <v>7</v>
      </c>
      <c r="K38" s="27" t="e">
        <f>STOCK!#REF!</f>
        <v>#REF!</v>
      </c>
      <c r="Q38" s="21" t="s">
        <v>7</v>
      </c>
      <c r="R38" s="27" t="e">
        <f>STOCK!#REF!</f>
        <v>#REF!</v>
      </c>
      <c r="W38" s="5"/>
      <c r="X38" s="21" t="s">
        <v>7</v>
      </c>
      <c r="Y38" s="27" t="e">
        <f>STOCK!#REF!</f>
        <v>#REF!</v>
      </c>
    </row>
    <row r="39" spans="2:33" ht="26.25" x14ac:dyDescent="0.4">
      <c r="C39" s="14" t="s">
        <v>6</v>
      </c>
      <c r="D39" s="16">
        <v>0.1</v>
      </c>
      <c r="J39" s="14" t="s">
        <v>6</v>
      </c>
      <c r="K39" s="16">
        <v>0.1</v>
      </c>
      <c r="Q39" s="14" t="s">
        <v>6</v>
      </c>
      <c r="R39" s="16">
        <v>0.1</v>
      </c>
      <c r="W39" s="5"/>
      <c r="X39" s="14" t="s">
        <v>6</v>
      </c>
      <c r="Y39" s="16">
        <v>0.1</v>
      </c>
    </row>
    <row r="40" spans="2:33" ht="26.25" x14ac:dyDescent="0.4">
      <c r="C40" s="14" t="s">
        <v>9</v>
      </c>
      <c r="D40" s="16">
        <f>+(D35-D36)/D35</f>
        <v>0</v>
      </c>
      <c r="J40" s="14" t="s">
        <v>9</v>
      </c>
      <c r="K40" s="16" t="e">
        <f>+(K35-K36)/K35</f>
        <v>#REF!</v>
      </c>
      <c r="Q40" s="14" t="s">
        <v>9</v>
      </c>
      <c r="R40" s="16" t="e">
        <f>+(R35-R36)/R35</f>
        <v>#REF!</v>
      </c>
      <c r="W40" s="5"/>
      <c r="X40" s="14" t="s">
        <v>9</v>
      </c>
      <c r="Y40" s="16" t="e">
        <f>+(Y35-Y36)/Y35</f>
        <v>#REF!</v>
      </c>
    </row>
    <row r="41" spans="2:33" ht="26.25" x14ac:dyDescent="0.4">
      <c r="B41"/>
      <c r="C41" s="17" t="s">
        <v>10</v>
      </c>
      <c r="D41" s="18">
        <f>1-D40</f>
        <v>1</v>
      </c>
      <c r="J41" s="17" t="s">
        <v>10</v>
      </c>
      <c r="K41" s="18" t="e">
        <f>1-K40</f>
        <v>#REF!</v>
      </c>
      <c r="Q41" s="17" t="s">
        <v>10</v>
      </c>
      <c r="R41" s="18" t="e">
        <f>1-R40</f>
        <v>#REF!</v>
      </c>
      <c r="W41" s="5"/>
      <c r="X41" s="17" t="s">
        <v>10</v>
      </c>
      <c r="Y41" s="18" t="e">
        <f>1-Y40</f>
        <v>#REF!</v>
      </c>
    </row>
    <row r="42" spans="2:33" ht="27" thickBot="1" x14ac:dyDescent="0.45">
      <c r="B42"/>
      <c r="C42" s="19" t="s">
        <v>6</v>
      </c>
      <c r="D42" s="20">
        <v>0.1</v>
      </c>
      <c r="J42" s="19" t="s">
        <v>6</v>
      </c>
      <c r="K42" s="20">
        <v>0.1</v>
      </c>
      <c r="Q42" s="19" t="s">
        <v>6</v>
      </c>
      <c r="R42" s="20">
        <v>0.1</v>
      </c>
      <c r="W42" s="5"/>
      <c r="X42" s="19" t="s">
        <v>6</v>
      </c>
      <c r="Y42" s="20">
        <v>0.1</v>
      </c>
      <c r="Z42" s="5"/>
    </row>
    <row r="43" spans="2:33" ht="44.25" customHeight="1" x14ac:dyDescent="0.25">
      <c r="B43"/>
      <c r="C43"/>
      <c r="D43"/>
      <c r="J43" s="5"/>
      <c r="K43" s="5"/>
      <c r="L43" s="5"/>
      <c r="Q43" s="5"/>
      <c r="R43" s="5"/>
      <c r="S43" s="5"/>
      <c r="W43" s="5"/>
      <c r="X43" s="5"/>
      <c r="Y43" s="5"/>
    </row>
    <row r="44" spans="2:33" ht="74.25" customHeight="1" x14ac:dyDescent="0.25"/>
    <row r="45" spans="2:33" ht="27" customHeight="1" x14ac:dyDescent="0.25"/>
    <row r="46" spans="2:33" ht="50.25" customHeight="1" x14ac:dyDescent="0.25"/>
    <row r="55" spans="2:26" x14ac:dyDescent="0.25">
      <c r="B55"/>
    </row>
    <row r="56" spans="2:26" x14ac:dyDescent="0.25">
      <c r="B56"/>
    </row>
    <row r="63" spans="2:26" x14ac:dyDescent="0.25">
      <c r="Z63" s="5"/>
    </row>
    <row r="122" ht="52.5" customHeight="1" x14ac:dyDescent="0.25"/>
    <row r="123" ht="21" customHeight="1" x14ac:dyDescent="0.25"/>
    <row r="206" ht="73.5" customHeight="1" x14ac:dyDescent="0.25"/>
  </sheetData>
  <mergeCells count="16">
    <mergeCell ref="X24:Y24"/>
    <mergeCell ref="X34:Y34"/>
    <mergeCell ref="X14:Y14"/>
    <mergeCell ref="AF24:AG24"/>
    <mergeCell ref="C34:D34"/>
    <mergeCell ref="J34:K34"/>
    <mergeCell ref="J24:K24"/>
    <mergeCell ref="C24:D24"/>
    <mergeCell ref="J14:K14"/>
    <mergeCell ref="Q34:R34"/>
    <mergeCell ref="C2:AK2"/>
    <mergeCell ref="C14:D14"/>
    <mergeCell ref="Q14:R14"/>
    <mergeCell ref="C4:D4"/>
    <mergeCell ref="Q4:R4"/>
    <mergeCell ref="J4:K4"/>
  </mergeCells>
  <conditionalFormatting sqref="D7">
    <cfRule type="cellIs" dxfId="18" priority="63" operator="lessThan">
      <formula>1000</formula>
    </cfRule>
  </conditionalFormatting>
  <conditionalFormatting sqref="D17">
    <cfRule type="cellIs" dxfId="17" priority="62" operator="lessThan">
      <formula>1000</formula>
    </cfRule>
  </conditionalFormatting>
  <conditionalFormatting sqref="D27">
    <cfRule type="cellIs" dxfId="16" priority="60" operator="lessThan">
      <formula>1000</formula>
    </cfRule>
  </conditionalFormatting>
  <conditionalFormatting sqref="D37">
    <cfRule type="cellIs" dxfId="15" priority="59" operator="lessThan">
      <formula>1000</formula>
    </cfRule>
  </conditionalFormatting>
  <conditionalFormatting sqref="R7">
    <cfRule type="cellIs" dxfId="14" priority="13" operator="lessThan">
      <formula>1000</formula>
    </cfRule>
  </conditionalFormatting>
  <conditionalFormatting sqref="K17">
    <cfRule type="cellIs" dxfId="13" priority="16" operator="lessThan">
      <formula>1000</formula>
    </cfRule>
  </conditionalFormatting>
  <conditionalFormatting sqref="K27">
    <cfRule type="cellIs" dxfId="12" priority="15" operator="lessThan">
      <formula>1000</formula>
    </cfRule>
  </conditionalFormatting>
  <conditionalFormatting sqref="K37">
    <cfRule type="cellIs" dxfId="11" priority="14" operator="lessThan">
      <formula>1000</formula>
    </cfRule>
  </conditionalFormatting>
  <conditionalFormatting sqref="R17">
    <cfRule type="cellIs" dxfId="10" priority="12" operator="lessThan">
      <formula>1000</formula>
    </cfRule>
  </conditionalFormatting>
  <conditionalFormatting sqref="R27">
    <cfRule type="cellIs" dxfId="9" priority="11" operator="lessThan">
      <formula>1000</formula>
    </cfRule>
  </conditionalFormatting>
  <conditionalFormatting sqref="R37">
    <cfRule type="cellIs" dxfId="8" priority="10" operator="lessThan">
      <formula>1000</formula>
    </cfRule>
  </conditionalFormatting>
  <conditionalFormatting sqref="Y7">
    <cfRule type="cellIs" dxfId="7" priority="9" operator="lessThan">
      <formula>1000</formula>
    </cfRule>
  </conditionalFormatting>
  <conditionalFormatting sqref="Y17">
    <cfRule type="cellIs" dxfId="6" priority="8" operator="lessThan">
      <formula>1000</formula>
    </cfRule>
  </conditionalFormatting>
  <conditionalFormatting sqref="Y27">
    <cfRule type="cellIs" dxfId="5" priority="7" operator="lessThan">
      <formula>1000</formula>
    </cfRule>
  </conditionalFormatting>
  <conditionalFormatting sqref="Y37">
    <cfRule type="cellIs" dxfId="4" priority="6" operator="lessThan">
      <formula>1000</formula>
    </cfRule>
  </conditionalFormatting>
  <conditionalFormatting sqref="AG7">
    <cfRule type="cellIs" dxfId="3" priority="5" operator="lessThan">
      <formula>1000</formula>
    </cfRule>
  </conditionalFormatting>
  <conditionalFormatting sqref="AG17">
    <cfRule type="cellIs" dxfId="2" priority="4" operator="lessThan">
      <formula>1000</formula>
    </cfRule>
  </conditionalFormatting>
  <conditionalFormatting sqref="AG27">
    <cfRule type="cellIs" dxfId="1" priority="3" operator="lessThan">
      <formula>1000</formula>
    </cfRule>
  </conditionalFormatting>
  <conditionalFormatting sqref="K7">
    <cfRule type="cellIs" dxfId="0" priority="1" operator="lessThan">
      <formula>1000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8"/>
  <sheetViews>
    <sheetView showGridLines="0" tabSelected="1" zoomScale="70" zoomScaleNormal="70" workbookViewId="0">
      <pane ySplit="5" topLeftCell="A6" activePane="bottomLeft" state="frozen"/>
      <selection activeCell="C1" sqref="C1"/>
      <selection pane="bottomLeft" activeCell="F46" sqref="F46"/>
    </sheetView>
  </sheetViews>
  <sheetFormatPr baseColWidth="10" defaultColWidth="9.140625" defaultRowHeight="15" x14ac:dyDescent="0.25"/>
  <cols>
    <col min="1" max="1" width="10.5703125" customWidth="1"/>
    <col min="2" max="2" width="78.140625" customWidth="1"/>
    <col min="3" max="3" width="16.140625" customWidth="1"/>
    <col min="4" max="4" width="14.140625" customWidth="1"/>
    <col min="5" max="5" width="14.28515625" customWidth="1"/>
    <col min="6" max="6" width="18.140625" customWidth="1"/>
    <col min="7" max="7" width="19.140625" style="2" customWidth="1"/>
    <col min="8" max="8" width="20.140625" customWidth="1"/>
    <col min="9" max="9" width="21.140625" customWidth="1"/>
    <col min="10" max="10" width="22.140625" customWidth="1"/>
    <col min="11" max="11" width="19.42578125" customWidth="1"/>
    <col min="12" max="12" width="14.42578125" customWidth="1"/>
    <col min="13" max="13" width="16.5703125" customWidth="1"/>
    <col min="14" max="14" width="54.140625" customWidth="1"/>
    <col min="15" max="16" width="29.28515625" customWidth="1"/>
  </cols>
  <sheetData>
    <row r="1" spans="1:14" ht="6.75" customHeight="1" x14ac:dyDescent="0.25"/>
    <row r="2" spans="1:14" ht="13.5" customHeight="1" x14ac:dyDescent="0.25"/>
    <row r="3" spans="1:14" ht="23.25" x14ac:dyDescent="0.35">
      <c r="A3" s="254" t="s">
        <v>276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</row>
    <row r="4" spans="1:14" ht="52.5" customHeight="1" thickBot="1" x14ac:dyDescent="0.3">
      <c r="A4" s="5"/>
      <c r="B4" s="5"/>
      <c r="C4" s="5"/>
      <c r="D4" s="5"/>
      <c r="E4" s="5"/>
      <c r="F4" s="5"/>
      <c r="G4" s="8"/>
      <c r="H4" s="5"/>
      <c r="I4" s="5"/>
    </row>
    <row r="5" spans="1:14" s="2" customFormat="1" ht="60" customHeight="1" thickBot="1" x14ac:dyDescent="0.3">
      <c r="A5" s="60" t="s">
        <v>71</v>
      </c>
      <c r="B5" s="163" t="s">
        <v>1</v>
      </c>
      <c r="C5" s="160" t="s">
        <v>251</v>
      </c>
      <c r="D5" s="161" t="s">
        <v>0</v>
      </c>
      <c r="E5" s="161" t="s">
        <v>143</v>
      </c>
      <c r="F5" s="161" t="s">
        <v>283</v>
      </c>
      <c r="G5" s="160" t="s">
        <v>277</v>
      </c>
      <c r="H5" s="162" t="s">
        <v>252</v>
      </c>
      <c r="I5" s="164" t="s">
        <v>253</v>
      </c>
      <c r="J5" s="165" t="s">
        <v>2</v>
      </c>
      <c r="K5" s="166" t="s">
        <v>19</v>
      </c>
      <c r="L5" s="165" t="s">
        <v>255</v>
      </c>
      <c r="M5" s="167" t="s">
        <v>254</v>
      </c>
      <c r="N5" s="209" t="s">
        <v>242</v>
      </c>
    </row>
    <row r="6" spans="1:14" ht="24.75" customHeight="1" x14ac:dyDescent="0.25">
      <c r="A6" s="142">
        <v>3</v>
      </c>
      <c r="B6" s="117" t="s">
        <v>176</v>
      </c>
      <c r="C6" s="6">
        <v>50</v>
      </c>
      <c r="D6" s="9">
        <f>INGRESO!X6</f>
        <v>4000</v>
      </c>
      <c r="E6" s="181">
        <f>EGRESO!X6</f>
        <v>0</v>
      </c>
      <c r="F6" s="9">
        <f>(C6+D6)-E6</f>
        <v>4050</v>
      </c>
      <c r="G6" s="6"/>
      <c r="H6" s="6">
        <f>F6-G6</f>
        <v>4050</v>
      </c>
      <c r="I6" s="139"/>
      <c r="J6" s="123">
        <v>3000</v>
      </c>
      <c r="K6" s="123">
        <v>5000</v>
      </c>
      <c r="L6" s="124"/>
      <c r="M6" s="125"/>
      <c r="N6" s="35"/>
    </row>
    <row r="7" spans="1:14" ht="24.75" customHeight="1" x14ac:dyDescent="0.25">
      <c r="A7" s="142">
        <v>4</v>
      </c>
      <c r="B7" s="117" t="s">
        <v>175</v>
      </c>
      <c r="C7" s="6">
        <v>0</v>
      </c>
      <c r="D7" s="9">
        <f>INGRESO!X7</f>
        <v>0</v>
      </c>
      <c r="E7" s="181">
        <f>EGRESO!X7</f>
        <v>0</v>
      </c>
      <c r="F7" s="9">
        <f t="shared" ref="F7:F57" si="0">(C7+D7)-E7</f>
        <v>0</v>
      </c>
      <c r="G7" s="6"/>
      <c r="H7" s="6">
        <f t="shared" ref="H7:H57" si="1">F7-G7</f>
        <v>0</v>
      </c>
      <c r="I7" s="139"/>
      <c r="J7" s="123">
        <v>100</v>
      </c>
      <c r="K7" s="123">
        <v>200</v>
      </c>
      <c r="L7" s="124"/>
      <c r="M7" s="125"/>
      <c r="N7" s="1"/>
    </row>
    <row r="8" spans="1:14" x14ac:dyDescent="0.25">
      <c r="A8" s="11">
        <v>6</v>
      </c>
      <c r="B8" s="3" t="s">
        <v>5</v>
      </c>
      <c r="C8" s="7">
        <v>0</v>
      </c>
      <c r="D8" s="9">
        <f>INGRESO!X8</f>
        <v>0</v>
      </c>
      <c r="E8" s="181">
        <f>EGRESO!X8</f>
        <v>0</v>
      </c>
      <c r="F8" s="9">
        <f t="shared" si="0"/>
        <v>0</v>
      </c>
      <c r="G8" s="6"/>
      <c r="H8" s="6">
        <f t="shared" si="1"/>
        <v>0</v>
      </c>
      <c r="I8" s="139"/>
      <c r="J8" s="57">
        <v>100</v>
      </c>
      <c r="K8" s="57">
        <v>200</v>
      </c>
      <c r="L8" s="58"/>
      <c r="M8" s="59"/>
      <c r="N8" s="1"/>
    </row>
    <row r="9" spans="1:14" ht="21.75" customHeight="1" x14ac:dyDescent="0.25">
      <c r="A9" s="11">
        <v>19</v>
      </c>
      <c r="B9" s="3" t="s">
        <v>42</v>
      </c>
      <c r="C9" s="7">
        <v>375</v>
      </c>
      <c r="D9" s="9">
        <f>INGRESO!X9</f>
        <v>0</v>
      </c>
      <c r="E9" s="181">
        <f>EGRESO!X9</f>
        <v>0</v>
      </c>
      <c r="F9" s="9">
        <f t="shared" si="0"/>
        <v>375</v>
      </c>
      <c r="G9" s="7"/>
      <c r="H9" s="6">
        <f t="shared" si="1"/>
        <v>375</v>
      </c>
      <c r="I9" s="139"/>
      <c r="J9" s="25">
        <v>3000</v>
      </c>
      <c r="K9" s="25">
        <v>5000</v>
      </c>
      <c r="L9" s="55"/>
      <c r="M9" s="33"/>
      <c r="N9" s="1"/>
    </row>
    <row r="10" spans="1:14" ht="21.75" customHeight="1" x14ac:dyDescent="0.25">
      <c r="A10" s="11">
        <v>31</v>
      </c>
      <c r="B10" s="118" t="s">
        <v>65</v>
      </c>
      <c r="C10" s="7">
        <v>6300</v>
      </c>
      <c r="D10" s="9">
        <f>INGRESO!X10</f>
        <v>0</v>
      </c>
      <c r="E10" s="181">
        <f>EGRESO!X10</f>
        <v>3300</v>
      </c>
      <c r="F10" s="9">
        <f t="shared" si="0"/>
        <v>3000</v>
      </c>
      <c r="G10" s="7"/>
      <c r="H10" s="6">
        <f t="shared" si="1"/>
        <v>3000</v>
      </c>
      <c r="I10" s="139"/>
      <c r="J10" s="25">
        <v>3000</v>
      </c>
      <c r="K10" s="25">
        <v>5000</v>
      </c>
      <c r="L10" s="55"/>
      <c r="M10" s="33"/>
      <c r="N10" s="1"/>
    </row>
    <row r="11" spans="1:14" ht="21.75" customHeight="1" x14ac:dyDescent="0.25">
      <c r="A11" s="11">
        <v>38</v>
      </c>
      <c r="B11" s="118" t="s">
        <v>181</v>
      </c>
      <c r="C11" s="7">
        <v>0</v>
      </c>
      <c r="D11" s="9">
        <f>INGRESO!X11</f>
        <v>0</v>
      </c>
      <c r="E11" s="181">
        <f>EGRESO!X11</f>
        <v>0</v>
      </c>
      <c r="F11" s="9">
        <f t="shared" si="0"/>
        <v>0</v>
      </c>
      <c r="G11" s="7"/>
      <c r="H11" s="6">
        <f t="shared" si="1"/>
        <v>0</v>
      </c>
      <c r="I11" s="139"/>
      <c r="J11" s="25"/>
      <c r="K11" s="25"/>
      <c r="L11" s="55"/>
      <c r="M11" s="33"/>
      <c r="N11" s="1" t="s">
        <v>241</v>
      </c>
    </row>
    <row r="12" spans="1:14" ht="21" customHeight="1" x14ac:dyDescent="0.25">
      <c r="A12" s="11">
        <v>21</v>
      </c>
      <c r="B12" s="189" t="s">
        <v>43</v>
      </c>
      <c r="C12" s="7">
        <v>22.38</v>
      </c>
      <c r="D12" s="9">
        <f>INGRESO!X12</f>
        <v>0</v>
      </c>
      <c r="E12" s="181">
        <f>EGRESO!X12</f>
        <v>0</v>
      </c>
      <c r="F12" s="9">
        <f t="shared" si="0"/>
        <v>22.38</v>
      </c>
      <c r="G12" s="7"/>
      <c r="H12" s="6">
        <f t="shared" si="1"/>
        <v>22.38</v>
      </c>
      <c r="I12" s="139"/>
      <c r="J12" s="25">
        <v>25</v>
      </c>
      <c r="K12" s="25">
        <v>75</v>
      </c>
      <c r="L12" s="55"/>
      <c r="M12" s="33"/>
      <c r="N12" s="1"/>
    </row>
    <row r="13" spans="1:14" ht="21.75" customHeight="1" x14ac:dyDescent="0.25">
      <c r="A13" s="11">
        <v>24</v>
      </c>
      <c r="B13" s="239" t="s">
        <v>44</v>
      </c>
      <c r="C13" s="7">
        <v>37.555</v>
      </c>
      <c r="D13" s="9">
        <f>INGRESO!X13</f>
        <v>50</v>
      </c>
      <c r="E13" s="181">
        <f>EGRESO!X13</f>
        <v>0</v>
      </c>
      <c r="F13" s="9">
        <f t="shared" si="0"/>
        <v>87.555000000000007</v>
      </c>
      <c r="G13" s="7"/>
      <c r="H13" s="6">
        <f t="shared" si="1"/>
        <v>87.555000000000007</v>
      </c>
      <c r="I13" s="139"/>
      <c r="J13" s="25">
        <v>25</v>
      </c>
      <c r="K13" s="25">
        <v>75</v>
      </c>
      <c r="L13" s="55"/>
      <c r="M13" s="33"/>
      <c r="N13" s="7"/>
    </row>
    <row r="14" spans="1:14" ht="19.5" customHeight="1" x14ac:dyDescent="0.25">
      <c r="A14" s="11" t="s">
        <v>126</v>
      </c>
      <c r="B14" s="240" t="s">
        <v>161</v>
      </c>
      <c r="C14" s="7">
        <v>8.7430000000000003</v>
      </c>
      <c r="D14" s="9">
        <f>INGRESO!X14</f>
        <v>35.826999999999998</v>
      </c>
      <c r="E14" s="181">
        <f>EGRESO!X14</f>
        <v>11.4</v>
      </c>
      <c r="F14" s="9">
        <f t="shared" si="0"/>
        <v>33.17</v>
      </c>
      <c r="G14" s="7"/>
      <c r="H14" s="6">
        <f t="shared" si="1"/>
        <v>33.17</v>
      </c>
      <c r="I14" s="139"/>
      <c r="J14" s="140">
        <v>10</v>
      </c>
      <c r="K14" s="140">
        <v>20</v>
      </c>
      <c r="L14" s="140"/>
      <c r="M14" s="46"/>
      <c r="N14" s="1"/>
    </row>
    <row r="15" spans="1:14" ht="19.5" customHeight="1" x14ac:dyDescent="0.25">
      <c r="A15" s="11" t="s">
        <v>127</v>
      </c>
      <c r="B15" s="240" t="s">
        <v>151</v>
      </c>
      <c r="C15" s="7">
        <v>0</v>
      </c>
      <c r="D15" s="9">
        <f>INGRESO!X15</f>
        <v>0</v>
      </c>
      <c r="E15" s="181">
        <f>EGRESO!X15</f>
        <v>0</v>
      </c>
      <c r="F15" s="9">
        <f t="shared" si="0"/>
        <v>0</v>
      </c>
      <c r="G15" s="7"/>
      <c r="H15" s="6">
        <f t="shared" si="1"/>
        <v>0</v>
      </c>
      <c r="I15" s="139"/>
      <c r="J15" s="168">
        <v>3.5</v>
      </c>
      <c r="K15" s="140">
        <v>5</v>
      </c>
      <c r="L15" s="140"/>
      <c r="M15" s="46"/>
      <c r="N15" s="1"/>
    </row>
    <row r="16" spans="1:14" ht="19.5" customHeight="1" x14ac:dyDescent="0.25">
      <c r="A16" s="11" t="s">
        <v>128</v>
      </c>
      <c r="B16" s="240" t="s">
        <v>160</v>
      </c>
      <c r="C16" s="7">
        <v>4.4589999999999996</v>
      </c>
      <c r="D16" s="9">
        <f>INGRESO!X16</f>
        <v>0</v>
      </c>
      <c r="E16" s="181">
        <f>EGRESO!X16</f>
        <v>0</v>
      </c>
      <c r="F16" s="9">
        <f t="shared" si="0"/>
        <v>4.4589999999999996</v>
      </c>
      <c r="G16" s="7"/>
      <c r="H16" s="6">
        <f t="shared" si="1"/>
        <v>4.4589999999999996</v>
      </c>
      <c r="I16" s="139"/>
      <c r="J16" s="168">
        <v>3.5</v>
      </c>
      <c r="K16" s="140">
        <v>5</v>
      </c>
      <c r="L16" s="140"/>
      <c r="M16" s="46"/>
      <c r="N16" s="1"/>
    </row>
    <row r="17" spans="1:14" ht="39.75" customHeight="1" x14ac:dyDescent="0.25">
      <c r="A17" s="210" t="s">
        <v>129</v>
      </c>
      <c r="B17" s="241" t="s">
        <v>238</v>
      </c>
      <c r="C17" s="211">
        <v>2.7</v>
      </c>
      <c r="D17" s="9">
        <f>INGRESO!X17</f>
        <v>0</v>
      </c>
      <c r="E17" s="181">
        <f>EGRESO!X17</f>
        <v>0</v>
      </c>
      <c r="F17" s="212">
        <f t="shared" si="0"/>
        <v>2.7</v>
      </c>
      <c r="G17" s="211"/>
      <c r="H17" s="213">
        <f t="shared" si="1"/>
        <v>2.7</v>
      </c>
      <c r="I17" s="214"/>
      <c r="J17" s="215" t="s">
        <v>240</v>
      </c>
      <c r="K17" s="216">
        <v>0</v>
      </c>
      <c r="L17" s="216"/>
      <c r="M17" s="217"/>
      <c r="N17" s="51"/>
    </row>
    <row r="18" spans="1:14" ht="19.5" customHeight="1" x14ac:dyDescent="0.25">
      <c r="A18" s="11" t="s">
        <v>239</v>
      </c>
      <c r="B18" s="240" t="s">
        <v>235</v>
      </c>
      <c r="C18" s="7">
        <v>0</v>
      </c>
      <c r="D18" s="9">
        <f>INGRESO!X18</f>
        <v>5</v>
      </c>
      <c r="E18" s="181">
        <f>EGRESO!X18</f>
        <v>0</v>
      </c>
      <c r="F18" s="9">
        <f t="shared" si="0"/>
        <v>5</v>
      </c>
      <c r="G18" s="7"/>
      <c r="H18" s="6">
        <f t="shared" si="1"/>
        <v>5</v>
      </c>
      <c r="I18" s="139"/>
      <c r="J18" s="168">
        <v>3.5</v>
      </c>
      <c r="K18" s="140">
        <v>5</v>
      </c>
      <c r="L18" s="140">
        <v>5</v>
      </c>
      <c r="M18" s="46"/>
      <c r="N18" s="1"/>
    </row>
    <row r="19" spans="1:14" ht="19.5" customHeight="1" x14ac:dyDescent="0.25">
      <c r="A19" s="11" t="s">
        <v>130</v>
      </c>
      <c r="B19" s="240" t="s">
        <v>163</v>
      </c>
      <c r="C19" s="7">
        <v>2.496</v>
      </c>
      <c r="D19" s="9">
        <f>INGRESO!X19</f>
        <v>0</v>
      </c>
      <c r="E19" s="181">
        <f>EGRESO!X19</f>
        <v>0</v>
      </c>
      <c r="F19" s="9">
        <f t="shared" si="0"/>
        <v>2.496</v>
      </c>
      <c r="G19" s="7"/>
      <c r="H19" s="6">
        <f t="shared" si="1"/>
        <v>2.496</v>
      </c>
      <c r="I19" s="139"/>
      <c r="J19" s="168">
        <v>3.5</v>
      </c>
      <c r="K19" s="140">
        <v>5</v>
      </c>
      <c r="L19" s="140"/>
      <c r="M19" s="46"/>
      <c r="N19" s="1"/>
    </row>
    <row r="20" spans="1:14" ht="19.5" customHeight="1" x14ac:dyDescent="0.25">
      <c r="A20" s="11" t="s">
        <v>131</v>
      </c>
      <c r="B20" s="240" t="s">
        <v>159</v>
      </c>
      <c r="C20" s="7">
        <v>1.8959999999999999</v>
      </c>
      <c r="D20" s="9">
        <f>INGRESO!X20</f>
        <v>5</v>
      </c>
      <c r="E20" s="181">
        <f>EGRESO!X20</f>
        <v>0</v>
      </c>
      <c r="F20" s="9">
        <f t="shared" si="0"/>
        <v>6.8959999999999999</v>
      </c>
      <c r="G20" s="7"/>
      <c r="H20" s="6">
        <f t="shared" si="1"/>
        <v>6.8959999999999999</v>
      </c>
      <c r="I20" s="139"/>
      <c r="J20" s="168">
        <v>3.5</v>
      </c>
      <c r="K20" s="140">
        <v>5</v>
      </c>
      <c r="L20" s="140"/>
      <c r="M20" s="46"/>
      <c r="N20" s="1"/>
    </row>
    <row r="21" spans="1:14" ht="22.5" customHeight="1" x14ac:dyDescent="0.25">
      <c r="A21" s="11" t="s">
        <v>236</v>
      </c>
      <c r="B21" s="189" t="s">
        <v>177</v>
      </c>
      <c r="C21" s="7">
        <v>8.4499999999999993</v>
      </c>
      <c r="D21" s="9">
        <f>INGRESO!X21</f>
        <v>0</v>
      </c>
      <c r="E21" s="181">
        <f>EGRESO!X21</f>
        <v>0</v>
      </c>
      <c r="F21" s="9">
        <f t="shared" si="0"/>
        <v>8.4499999999999993</v>
      </c>
      <c r="G21" s="7"/>
      <c r="H21" s="6">
        <f t="shared" si="1"/>
        <v>8.4499999999999993</v>
      </c>
      <c r="I21" s="139"/>
      <c r="J21" s="168">
        <v>3.5</v>
      </c>
      <c r="K21" s="140">
        <v>5</v>
      </c>
      <c r="L21" s="149"/>
      <c r="M21" s="150"/>
      <c r="N21" s="1"/>
    </row>
    <row r="22" spans="1:14" ht="22.5" customHeight="1" x14ac:dyDescent="0.25">
      <c r="A22" s="11" t="s">
        <v>237</v>
      </c>
      <c r="B22" s="189" t="s">
        <v>162</v>
      </c>
      <c r="C22" s="7">
        <v>2.76</v>
      </c>
      <c r="D22" s="9">
        <f>INGRESO!X22</f>
        <v>0</v>
      </c>
      <c r="E22" s="181">
        <f>EGRESO!X22</f>
        <v>2.7</v>
      </c>
      <c r="F22" s="9">
        <f t="shared" si="0"/>
        <v>5.9999999999999609E-2</v>
      </c>
      <c r="G22" s="7"/>
      <c r="H22" s="6">
        <f t="shared" si="1"/>
        <v>5.9999999999999609E-2</v>
      </c>
      <c r="I22" s="139"/>
      <c r="J22" s="168">
        <v>3.5</v>
      </c>
      <c r="K22" s="140">
        <v>5</v>
      </c>
      <c r="L22" s="149"/>
      <c r="M22" s="150"/>
      <c r="N22" s="1"/>
    </row>
    <row r="23" spans="1:14" ht="22.5" customHeight="1" x14ac:dyDescent="0.25">
      <c r="A23" s="11" t="s">
        <v>219</v>
      </c>
      <c r="B23" s="240" t="s">
        <v>223</v>
      </c>
      <c r="C23" s="7">
        <v>4.2089999999999996</v>
      </c>
      <c r="D23" s="9">
        <f>INGRESO!X23</f>
        <v>0</v>
      </c>
      <c r="E23" s="181">
        <f>EGRESO!X23</f>
        <v>0</v>
      </c>
      <c r="F23" s="9">
        <f t="shared" si="0"/>
        <v>4.2089999999999996</v>
      </c>
      <c r="G23" s="7"/>
      <c r="H23" s="6">
        <f t="shared" si="1"/>
        <v>4.2089999999999996</v>
      </c>
      <c r="I23" s="139"/>
      <c r="J23" s="168">
        <v>3.5</v>
      </c>
      <c r="K23" s="140">
        <v>5</v>
      </c>
      <c r="L23" s="149"/>
      <c r="M23" s="150"/>
      <c r="N23" s="1"/>
    </row>
    <row r="24" spans="1:14" ht="22.5" customHeight="1" x14ac:dyDescent="0.25">
      <c r="A24" s="11" t="s">
        <v>268</v>
      </c>
      <c r="B24" s="240" t="s">
        <v>224</v>
      </c>
      <c r="C24" s="7">
        <v>0.19800000000000001</v>
      </c>
      <c r="D24" s="9">
        <f>INGRESO!X24</f>
        <v>5</v>
      </c>
      <c r="E24" s="181">
        <f>EGRESO!X24</f>
        <v>0</v>
      </c>
      <c r="F24" s="9">
        <f t="shared" ref="F24" si="2">(C24+D24)-E24</f>
        <v>5.1980000000000004</v>
      </c>
      <c r="G24" s="7"/>
      <c r="H24" s="6">
        <f t="shared" ref="H24" si="3">F24-G24</f>
        <v>5.1980000000000004</v>
      </c>
      <c r="I24" s="139"/>
      <c r="J24" s="168">
        <v>3.5</v>
      </c>
      <c r="K24" s="140">
        <v>5</v>
      </c>
      <c r="L24" s="149">
        <v>5</v>
      </c>
      <c r="M24" s="150"/>
      <c r="N24" s="1"/>
    </row>
    <row r="25" spans="1:14" ht="22.5" customHeight="1" thickBot="1" x14ac:dyDescent="0.3">
      <c r="A25" s="155" t="s">
        <v>266</v>
      </c>
      <c r="B25" s="1" t="s">
        <v>267</v>
      </c>
      <c r="C25" s="7">
        <v>2.802</v>
      </c>
      <c r="D25" s="9">
        <f>INGRESO!X25</f>
        <v>0</v>
      </c>
      <c r="E25" s="181">
        <f>EGRESO!X25</f>
        <v>0</v>
      </c>
      <c r="F25" s="9">
        <f>(C25+D25)-E25</f>
        <v>2.802</v>
      </c>
      <c r="G25" s="7"/>
      <c r="H25" s="6">
        <f t="shared" si="1"/>
        <v>2.802</v>
      </c>
      <c r="I25" s="139"/>
      <c r="J25" s="168">
        <v>3.5</v>
      </c>
      <c r="K25" s="140">
        <v>5</v>
      </c>
      <c r="L25" s="149"/>
      <c r="M25" s="150"/>
      <c r="N25" s="1"/>
    </row>
    <row r="26" spans="1:14" ht="47.25" customHeight="1" thickBot="1" x14ac:dyDescent="0.3">
      <c r="A26" s="187"/>
      <c r="B26" s="188" t="s">
        <v>246</v>
      </c>
      <c r="C26" s="160" t="s">
        <v>251</v>
      </c>
      <c r="D26" s="161" t="s">
        <v>0</v>
      </c>
      <c r="E26" s="161" t="s">
        <v>143</v>
      </c>
      <c r="F26" s="161" t="s">
        <v>283</v>
      </c>
      <c r="G26" s="160" t="s">
        <v>277</v>
      </c>
      <c r="H26" s="162" t="s">
        <v>252</v>
      </c>
      <c r="I26" s="164" t="s">
        <v>253</v>
      </c>
      <c r="J26" s="165" t="s">
        <v>2</v>
      </c>
      <c r="K26" s="166" t="s">
        <v>19</v>
      </c>
      <c r="L26" s="165" t="s">
        <v>255</v>
      </c>
      <c r="M26" s="167" t="s">
        <v>254</v>
      </c>
      <c r="N26" s="209" t="s">
        <v>242</v>
      </c>
    </row>
    <row r="27" spans="1:14" ht="27" customHeight="1" x14ac:dyDescent="0.25">
      <c r="A27" s="11" t="s">
        <v>132</v>
      </c>
      <c r="B27" s="118" t="s">
        <v>156</v>
      </c>
      <c r="C27" s="7">
        <v>1.2749999999999999</v>
      </c>
      <c r="D27" s="9">
        <f>INGRESO!X27</f>
        <v>0</v>
      </c>
      <c r="E27" s="181">
        <f>EGRESO!X27</f>
        <v>0</v>
      </c>
      <c r="F27" s="9">
        <f t="shared" si="0"/>
        <v>1.2749999999999999</v>
      </c>
      <c r="G27" s="7"/>
      <c r="H27" s="6">
        <f t="shared" si="1"/>
        <v>1.2749999999999999</v>
      </c>
      <c r="I27" s="139"/>
      <c r="J27" s="168"/>
      <c r="K27" s="168"/>
      <c r="L27" s="140"/>
      <c r="M27" s="46"/>
      <c r="N27" s="1"/>
    </row>
    <row r="28" spans="1:14" ht="20.25" customHeight="1" x14ac:dyDescent="0.25">
      <c r="A28" s="11" t="s">
        <v>133</v>
      </c>
      <c r="B28" s="118" t="s">
        <v>154</v>
      </c>
      <c r="C28" s="7">
        <v>0.33500000000000002</v>
      </c>
      <c r="D28" s="9">
        <f>INGRESO!X28</f>
        <v>0</v>
      </c>
      <c r="E28" s="181">
        <f>EGRESO!X28</f>
        <v>0</v>
      </c>
      <c r="F28" s="9">
        <f t="shared" si="0"/>
        <v>0.33500000000000002</v>
      </c>
      <c r="G28" s="7"/>
      <c r="H28" s="6">
        <f t="shared" si="1"/>
        <v>0.33500000000000002</v>
      </c>
      <c r="I28" s="139"/>
      <c r="J28" s="140"/>
      <c r="K28" s="140"/>
      <c r="L28" s="140"/>
      <c r="M28" s="46"/>
      <c r="N28" s="1"/>
    </row>
    <row r="29" spans="1:14" ht="25.5" customHeight="1" x14ac:dyDescent="0.25">
      <c r="A29" s="11" t="s">
        <v>134</v>
      </c>
      <c r="B29" s="118" t="s">
        <v>152</v>
      </c>
      <c r="C29" s="7">
        <v>0</v>
      </c>
      <c r="D29" s="9">
        <f>INGRESO!X29</f>
        <v>0</v>
      </c>
      <c r="E29" s="181">
        <f>EGRESO!X29</f>
        <v>0</v>
      </c>
      <c r="F29" s="9">
        <f t="shared" si="0"/>
        <v>0</v>
      </c>
      <c r="G29" s="7"/>
      <c r="H29" s="6">
        <f t="shared" si="1"/>
        <v>0</v>
      </c>
      <c r="I29" s="139"/>
      <c r="J29" s="140"/>
      <c r="K29" s="140"/>
      <c r="L29" s="140"/>
      <c r="M29" s="46"/>
      <c r="N29" s="1"/>
    </row>
    <row r="30" spans="1:14" ht="25.5" customHeight="1" x14ac:dyDescent="0.25">
      <c r="A30" s="11" t="s">
        <v>135</v>
      </c>
      <c r="B30" s="118" t="s">
        <v>210</v>
      </c>
      <c r="C30" s="7">
        <v>1</v>
      </c>
      <c r="D30" s="9">
        <f>INGRESO!X30</f>
        <v>0</v>
      </c>
      <c r="E30" s="181">
        <f>EGRESO!X30</f>
        <v>0</v>
      </c>
      <c r="F30" s="9">
        <f t="shared" si="0"/>
        <v>1</v>
      </c>
      <c r="G30" s="7"/>
      <c r="H30" s="6">
        <f t="shared" si="1"/>
        <v>1</v>
      </c>
      <c r="I30" s="139"/>
      <c r="J30" s="140"/>
      <c r="K30" s="140"/>
      <c r="L30" s="140"/>
      <c r="M30" s="46"/>
      <c r="N30" s="1"/>
    </row>
    <row r="31" spans="1:14" ht="22.5" customHeight="1" x14ac:dyDescent="0.25">
      <c r="A31" s="11" t="s">
        <v>136</v>
      </c>
      <c r="B31" s="118" t="s">
        <v>155</v>
      </c>
      <c r="C31" s="7">
        <v>0.75</v>
      </c>
      <c r="D31" s="9">
        <f>INGRESO!X31</f>
        <v>0</v>
      </c>
      <c r="E31" s="181">
        <f>EGRESO!X31</f>
        <v>0</v>
      </c>
      <c r="F31" s="9">
        <f t="shared" si="0"/>
        <v>0.75</v>
      </c>
      <c r="G31" s="7"/>
      <c r="H31" s="6">
        <f t="shared" si="1"/>
        <v>0.75</v>
      </c>
      <c r="I31" s="139"/>
      <c r="J31" s="140"/>
      <c r="K31" s="140"/>
      <c r="L31" s="140"/>
      <c r="M31" s="46"/>
      <c r="N31" s="1"/>
    </row>
    <row r="32" spans="1:14" ht="24.75" customHeight="1" x14ac:dyDescent="0.25">
      <c r="A32" s="11" t="s">
        <v>137</v>
      </c>
      <c r="B32" s="118" t="s">
        <v>158</v>
      </c>
      <c r="C32" s="7">
        <v>0.68</v>
      </c>
      <c r="D32" s="9">
        <f>INGRESO!X32</f>
        <v>0</v>
      </c>
      <c r="E32" s="181">
        <f>EGRESO!X32</f>
        <v>0</v>
      </c>
      <c r="F32" s="9">
        <f t="shared" si="0"/>
        <v>0.68</v>
      </c>
      <c r="G32" s="7"/>
      <c r="H32" s="6">
        <f t="shared" si="1"/>
        <v>0.68</v>
      </c>
      <c r="I32" s="139"/>
      <c r="J32" s="140"/>
      <c r="K32" s="140"/>
      <c r="L32" s="140"/>
      <c r="M32" s="46"/>
      <c r="N32" s="1"/>
    </row>
    <row r="33" spans="1:14" ht="27.75" customHeight="1" x14ac:dyDescent="0.25">
      <c r="A33" s="11" t="s">
        <v>138</v>
      </c>
      <c r="B33" s="118" t="s">
        <v>208</v>
      </c>
      <c r="C33" s="7">
        <v>1.075</v>
      </c>
      <c r="D33" s="9">
        <f>INGRESO!X33</f>
        <v>0</v>
      </c>
      <c r="E33" s="181">
        <f>EGRESO!X33</f>
        <v>0</v>
      </c>
      <c r="F33" s="9">
        <f t="shared" si="0"/>
        <v>1.075</v>
      </c>
      <c r="G33" s="7"/>
      <c r="H33" s="6">
        <f t="shared" si="1"/>
        <v>1.075</v>
      </c>
      <c r="I33" s="139"/>
      <c r="J33" s="140"/>
      <c r="K33" s="140"/>
      <c r="L33" s="140"/>
      <c r="M33" s="46"/>
      <c r="N33" s="1"/>
    </row>
    <row r="34" spans="1:14" ht="22.5" customHeight="1" x14ac:dyDescent="0.25">
      <c r="A34" s="11" t="s">
        <v>139</v>
      </c>
      <c r="B34" s="118" t="s">
        <v>211</v>
      </c>
      <c r="C34" s="7">
        <v>0.14799999999999999</v>
      </c>
      <c r="D34" s="9">
        <f>INGRESO!X34</f>
        <v>0</v>
      </c>
      <c r="E34" s="181">
        <f>EGRESO!X34</f>
        <v>0</v>
      </c>
      <c r="F34" s="9">
        <f t="shared" si="0"/>
        <v>0.14799999999999999</v>
      </c>
      <c r="G34" s="7"/>
      <c r="H34" s="6">
        <f t="shared" si="1"/>
        <v>0.14799999999999999</v>
      </c>
      <c r="I34" s="139"/>
      <c r="J34" s="157"/>
      <c r="K34" s="157"/>
      <c r="L34" s="157"/>
      <c r="M34" s="3"/>
      <c r="N34" s="1"/>
    </row>
    <row r="35" spans="1:14" ht="22.5" customHeight="1" x14ac:dyDescent="0.25">
      <c r="A35" s="11" t="s">
        <v>140</v>
      </c>
      <c r="B35" s="118" t="s">
        <v>153</v>
      </c>
      <c r="C35" s="7">
        <v>0.62</v>
      </c>
      <c r="D35" s="9">
        <f>INGRESO!X35</f>
        <v>0</v>
      </c>
      <c r="E35" s="181">
        <f>EGRESO!X35</f>
        <v>0</v>
      </c>
      <c r="F35" s="9">
        <f t="shared" si="0"/>
        <v>0.62</v>
      </c>
      <c r="G35" s="7"/>
      <c r="H35" s="6">
        <f t="shared" si="1"/>
        <v>0.62</v>
      </c>
      <c r="I35" s="139"/>
      <c r="J35" s="157"/>
      <c r="K35" s="157"/>
      <c r="L35" s="157"/>
      <c r="M35" s="3"/>
      <c r="N35" s="1"/>
    </row>
    <row r="36" spans="1:14" ht="23.25" customHeight="1" x14ac:dyDescent="0.25">
      <c r="A36" s="11" t="s">
        <v>141</v>
      </c>
      <c r="B36" s="118" t="s">
        <v>209</v>
      </c>
      <c r="C36" s="7">
        <v>1.635</v>
      </c>
      <c r="D36" s="9">
        <f>INGRESO!X36</f>
        <v>0</v>
      </c>
      <c r="E36" s="181">
        <f>EGRESO!X36</f>
        <v>0</v>
      </c>
      <c r="F36" s="9">
        <f t="shared" si="0"/>
        <v>1.635</v>
      </c>
      <c r="G36" s="7"/>
      <c r="H36" s="6">
        <f t="shared" si="1"/>
        <v>1.635</v>
      </c>
      <c r="I36" s="151"/>
      <c r="J36" s="157"/>
      <c r="K36" s="157"/>
      <c r="L36" s="157"/>
      <c r="M36" s="3"/>
      <c r="N36" s="1"/>
    </row>
    <row r="37" spans="1:14" ht="30.75" customHeight="1" x14ac:dyDescent="0.25">
      <c r="A37" s="11" t="s">
        <v>142</v>
      </c>
      <c r="B37" s="118" t="s">
        <v>157</v>
      </c>
      <c r="C37" s="7">
        <v>0.74</v>
      </c>
      <c r="D37" s="9">
        <f>INGRESO!X37</f>
        <v>0</v>
      </c>
      <c r="E37" s="181">
        <f>EGRESO!X37</f>
        <v>0</v>
      </c>
      <c r="F37" s="9">
        <f t="shared" si="0"/>
        <v>0.74</v>
      </c>
      <c r="G37" s="7"/>
      <c r="H37" s="6">
        <f t="shared" si="1"/>
        <v>0.74</v>
      </c>
      <c r="I37" s="151"/>
      <c r="J37" s="157"/>
      <c r="K37" s="157"/>
      <c r="L37" s="157"/>
      <c r="M37" s="3"/>
      <c r="N37" s="1"/>
    </row>
    <row r="38" spans="1:14" x14ac:dyDescent="0.25">
      <c r="A38" s="11" t="s">
        <v>245</v>
      </c>
      <c r="B38" s="118" t="s">
        <v>244</v>
      </c>
      <c r="C38" s="7">
        <v>0.17199999999999999</v>
      </c>
      <c r="D38" s="9">
        <f>INGRESO!X38</f>
        <v>0</v>
      </c>
      <c r="E38" s="181">
        <f>EGRESO!X38</f>
        <v>0</v>
      </c>
      <c r="F38" s="9">
        <f t="shared" si="0"/>
        <v>0.17199999999999999</v>
      </c>
      <c r="G38" s="170"/>
      <c r="H38" s="6">
        <f t="shared" si="1"/>
        <v>0.17199999999999999</v>
      </c>
      <c r="I38" s="1"/>
    </row>
    <row r="39" spans="1:14" ht="30.75" customHeight="1" x14ac:dyDescent="0.25">
      <c r="A39" s="11" t="s">
        <v>201</v>
      </c>
      <c r="B39" s="118" t="s">
        <v>221</v>
      </c>
      <c r="C39" s="7">
        <v>4.8710000000000004</v>
      </c>
      <c r="D39" s="9">
        <f>INGRESO!X39</f>
        <v>25.382000000000001</v>
      </c>
      <c r="E39" s="181">
        <f>EGRESO!X39</f>
        <v>15.75</v>
      </c>
      <c r="F39" s="9">
        <f t="shared" si="0"/>
        <v>14.503</v>
      </c>
      <c r="G39" s="7"/>
      <c r="H39" s="6">
        <f t="shared" si="1"/>
        <v>14.503</v>
      </c>
      <c r="I39" s="151"/>
      <c r="J39" s="157"/>
      <c r="K39" s="157"/>
      <c r="L39" s="157">
        <v>25</v>
      </c>
      <c r="M39" s="3"/>
      <c r="N39" s="1"/>
    </row>
    <row r="40" spans="1:14" ht="30.75" customHeight="1" x14ac:dyDescent="0.25">
      <c r="A40" s="11" t="s">
        <v>199</v>
      </c>
      <c r="B40" s="118" t="s">
        <v>222</v>
      </c>
      <c r="C40" s="7">
        <v>3.5579999999999998</v>
      </c>
      <c r="D40" s="9">
        <f>INGRESO!X40</f>
        <v>0</v>
      </c>
      <c r="E40" s="181">
        <f>EGRESO!X40</f>
        <v>0</v>
      </c>
      <c r="F40" s="9">
        <f t="shared" si="0"/>
        <v>3.5579999999999998</v>
      </c>
      <c r="G40" s="7"/>
      <c r="H40" s="6">
        <f t="shared" si="1"/>
        <v>3.5579999999999998</v>
      </c>
      <c r="I40" s="151"/>
      <c r="J40" s="157"/>
      <c r="K40" s="157"/>
      <c r="L40" s="157"/>
      <c r="M40" s="3"/>
      <c r="N40" s="1"/>
    </row>
    <row r="41" spans="1:14" x14ac:dyDescent="0.25">
      <c r="A41" s="11" t="s">
        <v>203</v>
      </c>
      <c r="B41" s="171" t="s">
        <v>205</v>
      </c>
      <c r="C41" s="7">
        <v>0.84399999999999997</v>
      </c>
      <c r="D41" s="9">
        <f>INGRESO!X41</f>
        <v>0</v>
      </c>
      <c r="E41" s="181">
        <f>EGRESO!X41</f>
        <v>0</v>
      </c>
      <c r="F41" s="9">
        <f t="shared" si="0"/>
        <v>0.84399999999999997</v>
      </c>
      <c r="G41" s="80"/>
      <c r="H41" s="6">
        <f t="shared" si="1"/>
        <v>0.84399999999999997</v>
      </c>
      <c r="I41" s="3"/>
      <c r="J41" s="157"/>
      <c r="K41" s="157"/>
      <c r="L41" s="157"/>
      <c r="M41" s="3"/>
      <c r="N41" s="1"/>
    </row>
    <row r="42" spans="1:14" x14ac:dyDescent="0.25">
      <c r="A42" s="11" t="s">
        <v>206</v>
      </c>
      <c r="B42" s="171" t="s">
        <v>204</v>
      </c>
      <c r="C42" s="7">
        <v>1.8149999999999999</v>
      </c>
      <c r="D42" s="9">
        <f>INGRESO!X42</f>
        <v>0</v>
      </c>
      <c r="E42" s="181">
        <f>EGRESO!X42</f>
        <v>0.15</v>
      </c>
      <c r="F42" s="9">
        <f t="shared" si="0"/>
        <v>1.665</v>
      </c>
      <c r="G42" s="170"/>
      <c r="H42" s="6">
        <f t="shared" si="1"/>
        <v>1.665</v>
      </c>
      <c r="I42" s="3"/>
      <c r="J42" s="157"/>
      <c r="K42" s="157"/>
      <c r="L42" s="157"/>
      <c r="M42" s="3"/>
      <c r="N42" s="1"/>
    </row>
    <row r="43" spans="1:14" ht="14.25" customHeight="1" x14ac:dyDescent="0.25">
      <c r="A43" s="11" t="s">
        <v>230</v>
      </c>
      <c r="B43" s="118" t="s">
        <v>243</v>
      </c>
      <c r="C43" s="7">
        <v>0.3</v>
      </c>
      <c r="D43" s="9">
        <f>INGRESO!X43</f>
        <v>0</v>
      </c>
      <c r="E43" s="181">
        <f>EGRESO!X43</f>
        <v>0</v>
      </c>
      <c r="F43" s="9">
        <f t="shared" si="0"/>
        <v>0.3</v>
      </c>
      <c r="G43" s="170"/>
      <c r="H43" s="6">
        <f t="shared" si="1"/>
        <v>0.3</v>
      </c>
      <c r="I43" s="1"/>
      <c r="J43" s="157"/>
      <c r="K43" s="157"/>
      <c r="L43" s="157"/>
      <c r="M43" s="3"/>
      <c r="N43" s="1"/>
    </row>
    <row r="44" spans="1:14" ht="34.5" customHeight="1" x14ac:dyDescent="0.25">
      <c r="A44" s="11">
        <v>40</v>
      </c>
      <c r="B44" s="118" t="s">
        <v>269</v>
      </c>
      <c r="C44" s="7">
        <v>25</v>
      </c>
      <c r="D44" s="9">
        <f>INGRESO!X44</f>
        <v>0</v>
      </c>
      <c r="E44" s="181">
        <f>EGRESO!X44</f>
        <v>0</v>
      </c>
      <c r="F44" s="9">
        <f t="shared" si="0"/>
        <v>25</v>
      </c>
      <c r="G44" s="170"/>
      <c r="H44" s="6">
        <f t="shared" si="1"/>
        <v>25</v>
      </c>
      <c r="I44" s="1"/>
      <c r="J44" s="157"/>
      <c r="K44" s="157"/>
      <c r="L44" s="157"/>
      <c r="M44" s="3"/>
      <c r="N44" s="1"/>
    </row>
    <row r="45" spans="1:14" ht="30.75" customHeight="1" thickBot="1" x14ac:dyDescent="0.3">
      <c r="A45" s="11">
        <v>41</v>
      </c>
      <c r="B45" s="118" t="s">
        <v>179</v>
      </c>
      <c r="C45" s="7">
        <v>25</v>
      </c>
      <c r="D45" s="9">
        <f>INGRESO!X45</f>
        <v>0</v>
      </c>
      <c r="E45" s="181">
        <f>EGRESO!X45</f>
        <v>0</v>
      </c>
      <c r="F45" s="9">
        <f t="shared" si="0"/>
        <v>25</v>
      </c>
      <c r="G45" s="7"/>
      <c r="H45" s="6">
        <f t="shared" si="1"/>
        <v>25</v>
      </c>
      <c r="I45" s="151"/>
      <c r="J45" s="157"/>
      <c r="K45" s="157"/>
      <c r="L45" s="157"/>
      <c r="M45" s="3"/>
      <c r="N45" s="1"/>
    </row>
    <row r="46" spans="1:14" ht="48" customHeight="1" thickBot="1" x14ac:dyDescent="0.3">
      <c r="A46" s="152" t="s">
        <v>72</v>
      </c>
      <c r="B46" s="159" t="s">
        <v>122</v>
      </c>
      <c r="C46" s="160" t="s">
        <v>251</v>
      </c>
      <c r="D46" s="161" t="s">
        <v>0</v>
      </c>
      <c r="E46" s="161" t="s">
        <v>143</v>
      </c>
      <c r="F46" s="161" t="s">
        <v>283</v>
      </c>
      <c r="G46" s="160" t="s">
        <v>277</v>
      </c>
      <c r="H46" s="162" t="s">
        <v>252</v>
      </c>
      <c r="I46" s="164" t="s">
        <v>253</v>
      </c>
      <c r="J46" s="165" t="s">
        <v>2</v>
      </c>
      <c r="K46" s="166" t="s">
        <v>19</v>
      </c>
      <c r="L46" s="165" t="s">
        <v>255</v>
      </c>
      <c r="M46" s="167" t="s">
        <v>254</v>
      </c>
      <c r="N46" s="209" t="s">
        <v>242</v>
      </c>
    </row>
    <row r="47" spans="1:14" ht="24.75" customHeight="1" x14ac:dyDescent="0.25">
      <c r="A47" s="158">
        <v>400</v>
      </c>
      <c r="B47" s="1" t="s">
        <v>166</v>
      </c>
      <c r="C47" s="148">
        <v>270.18</v>
      </c>
      <c r="D47" s="9">
        <f>INGRESO!X47</f>
        <v>0</v>
      </c>
      <c r="E47" s="181">
        <f>EGRESO!X47</f>
        <v>0</v>
      </c>
      <c r="F47" s="9">
        <f t="shared" si="0"/>
        <v>270.18</v>
      </c>
      <c r="G47" s="7"/>
      <c r="H47" s="6">
        <f t="shared" si="1"/>
        <v>270.18</v>
      </c>
      <c r="I47" s="1"/>
      <c r="J47" s="1"/>
      <c r="K47" s="1"/>
      <c r="L47" s="1"/>
      <c r="M47" s="1"/>
      <c r="N47" s="1"/>
    </row>
    <row r="48" spans="1:14" ht="21.75" customHeight="1" x14ac:dyDescent="0.25">
      <c r="A48" s="155">
        <v>401</v>
      </c>
      <c r="B48" s="1" t="s">
        <v>165</v>
      </c>
      <c r="C48" s="148">
        <v>222.6</v>
      </c>
      <c r="D48" s="9">
        <f>INGRESO!X48</f>
        <v>0</v>
      </c>
      <c r="E48" s="181">
        <f>EGRESO!X48</f>
        <v>0</v>
      </c>
      <c r="F48" s="9">
        <f t="shared" si="0"/>
        <v>222.6</v>
      </c>
      <c r="G48" s="170"/>
      <c r="H48" s="6">
        <f t="shared" si="1"/>
        <v>222.6</v>
      </c>
      <c r="I48" s="1"/>
      <c r="J48" s="1"/>
      <c r="K48" s="1"/>
      <c r="L48" s="1"/>
      <c r="M48" s="1"/>
      <c r="N48" s="1"/>
    </row>
    <row r="49" spans="1:15" ht="21.75" customHeight="1" x14ac:dyDescent="0.25">
      <c r="A49" s="155">
        <v>402</v>
      </c>
      <c r="B49" s="1" t="s">
        <v>171</v>
      </c>
      <c r="C49" s="148">
        <v>0</v>
      </c>
      <c r="D49" s="9">
        <f>INGRESO!X49</f>
        <v>0</v>
      </c>
      <c r="E49" s="181">
        <f>EGRESO!X49</f>
        <v>0</v>
      </c>
      <c r="F49" s="9">
        <f t="shared" si="0"/>
        <v>0</v>
      </c>
      <c r="G49" s="170"/>
      <c r="H49" s="6">
        <f t="shared" si="1"/>
        <v>0</v>
      </c>
      <c r="I49" s="1"/>
      <c r="J49" s="1"/>
      <c r="K49" s="1"/>
      <c r="L49" s="1"/>
      <c r="M49" s="1"/>
      <c r="N49" s="1"/>
    </row>
    <row r="50" spans="1:15" ht="21.75" customHeight="1" x14ac:dyDescent="0.25">
      <c r="A50" s="155">
        <v>403</v>
      </c>
      <c r="B50" s="1" t="s">
        <v>172</v>
      </c>
      <c r="C50" s="148">
        <v>0</v>
      </c>
      <c r="D50" s="9">
        <f>INGRESO!X50</f>
        <v>0</v>
      </c>
      <c r="E50" s="181">
        <f>EGRESO!X50</f>
        <v>0</v>
      </c>
      <c r="F50" s="9">
        <f t="shared" si="0"/>
        <v>0</v>
      </c>
      <c r="G50" s="170"/>
      <c r="H50" s="6">
        <f t="shared" si="1"/>
        <v>0</v>
      </c>
      <c r="I50" s="1"/>
      <c r="J50" s="1"/>
      <c r="K50" s="1"/>
      <c r="L50" s="1"/>
      <c r="M50" s="1"/>
      <c r="N50" s="1"/>
    </row>
    <row r="51" spans="1:15" ht="21.75" customHeight="1" x14ac:dyDescent="0.25">
      <c r="A51" s="155">
        <v>404</v>
      </c>
      <c r="B51" s="1" t="s">
        <v>173</v>
      </c>
      <c r="C51" s="148">
        <v>0</v>
      </c>
      <c r="D51" s="9">
        <f>INGRESO!X51</f>
        <v>0</v>
      </c>
      <c r="E51" s="181">
        <f>EGRESO!X51</f>
        <v>0</v>
      </c>
      <c r="F51" s="9">
        <f t="shared" si="0"/>
        <v>0</v>
      </c>
      <c r="G51" s="170"/>
      <c r="H51" s="6">
        <f t="shared" si="1"/>
        <v>0</v>
      </c>
      <c r="I51" s="1"/>
      <c r="J51" s="1"/>
      <c r="K51" s="1"/>
      <c r="L51" s="1"/>
      <c r="M51" s="1"/>
      <c r="N51" s="1"/>
    </row>
    <row r="52" spans="1:15" ht="21.75" customHeight="1" x14ac:dyDescent="0.25">
      <c r="A52" s="155">
        <v>405</v>
      </c>
      <c r="B52" s="1" t="s">
        <v>174</v>
      </c>
      <c r="C52" s="148">
        <v>0</v>
      </c>
      <c r="D52" s="9">
        <f>INGRESO!X52</f>
        <v>0</v>
      </c>
      <c r="E52" s="181">
        <f>EGRESO!X52</f>
        <v>0</v>
      </c>
      <c r="F52" s="9">
        <f t="shared" si="0"/>
        <v>0</v>
      </c>
      <c r="G52" s="170"/>
      <c r="H52" s="6">
        <f t="shared" si="1"/>
        <v>0</v>
      </c>
      <c r="I52" s="1"/>
      <c r="J52" s="1"/>
      <c r="K52" s="1"/>
      <c r="L52" s="1"/>
      <c r="M52" s="1"/>
      <c r="N52" s="1"/>
    </row>
    <row r="53" spans="1:15" ht="21.75" customHeight="1" x14ac:dyDescent="0.25">
      <c r="A53" s="155">
        <v>406</v>
      </c>
      <c r="B53" s="1" t="s">
        <v>190</v>
      </c>
      <c r="C53" s="148">
        <v>13</v>
      </c>
      <c r="D53" s="9">
        <f>INGRESO!X53</f>
        <v>0</v>
      </c>
      <c r="E53" s="181">
        <f>EGRESO!X53</f>
        <v>0</v>
      </c>
      <c r="F53" s="9">
        <f t="shared" si="0"/>
        <v>13</v>
      </c>
      <c r="G53" s="170"/>
      <c r="H53" s="6">
        <f t="shared" si="1"/>
        <v>13</v>
      </c>
      <c r="I53" s="1"/>
      <c r="J53" s="1"/>
      <c r="K53" s="1"/>
      <c r="L53" s="1"/>
      <c r="M53" s="1"/>
      <c r="N53" s="1"/>
    </row>
    <row r="54" spans="1:15" ht="21.75" customHeight="1" x14ac:dyDescent="0.25">
      <c r="A54" s="172">
        <v>407</v>
      </c>
      <c r="B54" s="173" t="s">
        <v>191</v>
      </c>
      <c r="C54" s="148">
        <v>10.6</v>
      </c>
      <c r="D54" s="9">
        <f>INGRESO!X54</f>
        <v>0</v>
      </c>
      <c r="E54" s="181">
        <f>EGRESO!X54</f>
        <v>0</v>
      </c>
      <c r="F54" s="9">
        <f t="shared" si="0"/>
        <v>10.6</v>
      </c>
      <c r="G54" s="170"/>
      <c r="H54" s="6">
        <f t="shared" si="1"/>
        <v>10.6</v>
      </c>
      <c r="I54" s="173"/>
      <c r="J54" s="173"/>
      <c r="K54" s="173"/>
      <c r="L54" s="173"/>
      <c r="M54" s="173"/>
      <c r="N54" s="1"/>
    </row>
    <row r="55" spans="1:15" s="1" customFormat="1" ht="21.75" customHeight="1" x14ac:dyDescent="0.25">
      <c r="A55" s="155">
        <v>408</v>
      </c>
      <c r="B55" s="1" t="s">
        <v>198</v>
      </c>
      <c r="C55" s="148">
        <v>9.5</v>
      </c>
      <c r="D55" s="9">
        <f>INGRESO!X55</f>
        <v>0</v>
      </c>
      <c r="E55" s="181">
        <f>EGRESO!X55</f>
        <v>0</v>
      </c>
      <c r="F55" s="9">
        <f t="shared" si="0"/>
        <v>9.5</v>
      </c>
      <c r="G55" s="170"/>
      <c r="H55" s="6">
        <f t="shared" si="1"/>
        <v>9.5</v>
      </c>
      <c r="O55" s="183"/>
    </row>
    <row r="56" spans="1:15" s="1" customFormat="1" ht="21.75" customHeight="1" x14ac:dyDescent="0.25">
      <c r="A56" s="155">
        <v>409</v>
      </c>
      <c r="B56" s="1" t="s">
        <v>227</v>
      </c>
      <c r="C56" s="148">
        <v>0</v>
      </c>
      <c r="D56" s="9">
        <f>INGRESO!X56</f>
        <v>0</v>
      </c>
      <c r="E56" s="181">
        <f>EGRESO!X56</f>
        <v>0</v>
      </c>
      <c r="F56" s="9">
        <f t="shared" si="0"/>
        <v>0</v>
      </c>
      <c r="G56" s="170"/>
      <c r="H56" s="6">
        <f t="shared" si="1"/>
        <v>0</v>
      </c>
      <c r="O56" s="183"/>
    </row>
    <row r="57" spans="1:15" s="5" customFormat="1" ht="21.75" customHeight="1" x14ac:dyDescent="0.25">
      <c r="A57" s="155">
        <v>410</v>
      </c>
      <c r="B57" s="1" t="s">
        <v>233</v>
      </c>
      <c r="C57" s="148">
        <v>150.19999999999999</v>
      </c>
      <c r="D57" s="9">
        <f>INGRESO!X57</f>
        <v>0</v>
      </c>
      <c r="E57" s="181">
        <f>EGRESO!X57</f>
        <v>0</v>
      </c>
      <c r="F57" s="9">
        <f t="shared" si="0"/>
        <v>150.19999999999999</v>
      </c>
      <c r="G57" s="170"/>
      <c r="H57" s="6">
        <f t="shared" si="1"/>
        <v>150.19999999999999</v>
      </c>
      <c r="I57" s="1"/>
      <c r="J57" s="1"/>
      <c r="K57" s="1"/>
      <c r="L57" s="1"/>
      <c r="M57" s="1"/>
      <c r="N57" s="1"/>
    </row>
    <row r="58" spans="1:15" x14ac:dyDescent="0.25">
      <c r="C58" s="43"/>
      <c r="D58" s="180"/>
      <c r="E58" s="180"/>
      <c r="F58" s="180"/>
      <c r="G58" s="56"/>
      <c r="H58" s="179"/>
    </row>
    <row r="59" spans="1:15" x14ac:dyDescent="0.25">
      <c r="C59" s="43"/>
      <c r="D59" s="180"/>
      <c r="E59" s="180"/>
      <c r="F59" s="180"/>
      <c r="G59" s="56"/>
      <c r="H59" s="179"/>
    </row>
    <row r="60" spans="1:15" x14ac:dyDescent="0.25">
      <c r="C60" s="43"/>
      <c r="D60" s="180"/>
      <c r="E60" s="180"/>
      <c r="F60" s="180"/>
      <c r="G60" s="56"/>
      <c r="H60" s="179"/>
    </row>
    <row r="61" spans="1:15" x14ac:dyDescent="0.25">
      <c r="C61" s="43"/>
      <c r="D61" s="180"/>
      <c r="E61" s="180"/>
      <c r="F61" s="180"/>
      <c r="G61" s="56"/>
      <c r="H61" s="179"/>
    </row>
    <row r="62" spans="1:15" x14ac:dyDescent="0.25">
      <c r="A62" s="43"/>
      <c r="B62" s="43"/>
      <c r="C62" s="43"/>
    </row>
    <row r="63" spans="1:15" x14ac:dyDescent="0.25">
      <c r="A63" s="43"/>
      <c r="B63" s="43"/>
      <c r="C63" s="43"/>
    </row>
    <row r="64" spans="1:15" x14ac:dyDescent="0.25">
      <c r="A64" s="43"/>
      <c r="B64" s="43"/>
      <c r="C64" s="43"/>
    </row>
    <row r="65" spans="1:3" x14ac:dyDescent="0.25">
      <c r="A65" s="242"/>
      <c r="B65" s="43"/>
      <c r="C65" s="179"/>
    </row>
    <row r="66" spans="1:3" x14ac:dyDescent="0.25">
      <c r="A66" s="43"/>
      <c r="B66" s="43"/>
      <c r="C66" s="43"/>
    </row>
    <row r="67" spans="1:3" x14ac:dyDescent="0.25">
      <c r="A67" s="43"/>
      <c r="B67" s="43"/>
      <c r="C67" s="43"/>
    </row>
    <row r="68" spans="1:3" x14ac:dyDescent="0.25">
      <c r="A68" s="43"/>
      <c r="B68" s="43"/>
      <c r="C68" s="43"/>
    </row>
  </sheetData>
  <autoFilter ref="A5:M20"/>
  <sortState ref="A5:H30">
    <sortCondition ref="A5:A30"/>
  </sortState>
  <mergeCells count="1">
    <mergeCell ref="A3:M3"/>
  </mergeCells>
  <pageMargins left="0.25" right="0.25" top="0.75" bottom="0.75" header="0.3" footer="0.3"/>
  <pageSetup paperSize="5" scale="9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B2:BO57"/>
  <sheetViews>
    <sheetView topLeftCell="A25" zoomScale="60" zoomScaleNormal="60" workbookViewId="0">
      <selection activeCell="H40" sqref="H40"/>
    </sheetView>
  </sheetViews>
  <sheetFormatPr baseColWidth="10" defaultColWidth="9.140625" defaultRowHeight="15" x14ac:dyDescent="0.25"/>
  <cols>
    <col min="1" max="1" width="2.140625" customWidth="1"/>
    <col min="2" max="2" width="23.5703125" customWidth="1"/>
    <col min="3" max="3" width="65" customWidth="1"/>
    <col min="4" max="4" width="16.42578125" customWidth="1"/>
    <col min="5" max="5" width="14.42578125" customWidth="1"/>
    <col min="6" max="6" width="14" customWidth="1"/>
    <col min="7" max="21" width="12.5703125" customWidth="1"/>
    <col min="22" max="22" width="18.85546875" customWidth="1"/>
    <col min="23" max="23" width="14.42578125" customWidth="1"/>
    <col min="24" max="24" width="27.85546875" customWidth="1"/>
    <col min="25" max="25" width="60.5703125" customWidth="1"/>
  </cols>
  <sheetData>
    <row r="2" spans="2:67" ht="24" thickBot="1" x14ac:dyDescent="0.4">
      <c r="B2" s="254" t="s">
        <v>276</v>
      </c>
      <c r="C2" s="255"/>
    </row>
    <row r="3" spans="2:67" ht="24" customHeight="1" thickBot="1" x14ac:dyDescent="0.3">
      <c r="D3" s="256" t="s">
        <v>145</v>
      </c>
      <c r="E3" s="257"/>
      <c r="F3" s="257"/>
      <c r="G3" s="257"/>
      <c r="H3" s="153"/>
    </row>
    <row r="4" spans="2:67" ht="61.5" customHeight="1" thickBot="1" x14ac:dyDescent="0.3">
      <c r="B4" s="258" t="s">
        <v>249</v>
      </c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</row>
    <row r="5" spans="2:67" ht="53.25" customHeight="1" thickBot="1" x14ac:dyDescent="0.4">
      <c r="B5" s="60" t="s">
        <v>71</v>
      </c>
      <c r="C5" s="163" t="s">
        <v>1</v>
      </c>
      <c r="D5" s="126">
        <v>4</v>
      </c>
      <c r="E5" s="126">
        <v>5</v>
      </c>
      <c r="F5" s="126">
        <v>6</v>
      </c>
      <c r="G5" s="126">
        <v>7</v>
      </c>
      <c r="H5" s="145">
        <v>10</v>
      </c>
      <c r="I5" s="145">
        <v>11</v>
      </c>
      <c r="J5" s="145">
        <v>12</v>
      </c>
      <c r="K5" s="145">
        <v>13</v>
      </c>
      <c r="L5" s="145">
        <v>14</v>
      </c>
      <c r="M5" s="145" t="s">
        <v>247</v>
      </c>
      <c r="N5" s="145">
        <v>19</v>
      </c>
      <c r="O5" s="145">
        <v>19</v>
      </c>
      <c r="P5" s="145">
        <v>20</v>
      </c>
      <c r="Q5" s="145">
        <v>21</v>
      </c>
      <c r="R5" s="145">
        <v>24</v>
      </c>
      <c r="S5" s="145">
        <v>25</v>
      </c>
      <c r="T5" s="145">
        <v>26</v>
      </c>
      <c r="U5" s="145">
        <v>27</v>
      </c>
      <c r="V5" s="145">
        <v>28</v>
      </c>
      <c r="W5" s="145">
        <v>31</v>
      </c>
      <c r="X5" s="169" t="s">
        <v>124</v>
      </c>
      <c r="Y5" s="202" t="s">
        <v>248</v>
      </c>
    </row>
    <row r="6" spans="2:67" ht="24.75" customHeight="1" x14ac:dyDescent="0.25">
      <c r="B6" s="142">
        <v>3</v>
      </c>
      <c r="C6" s="117" t="s">
        <v>176</v>
      </c>
      <c r="D6" s="148"/>
      <c r="E6" s="191">
        <v>4000</v>
      </c>
      <c r="F6" s="191"/>
      <c r="G6" s="192"/>
      <c r="H6" s="146"/>
      <c r="I6" s="146"/>
      <c r="J6" s="146"/>
      <c r="K6" s="146"/>
      <c r="L6" s="146"/>
      <c r="M6" s="197"/>
      <c r="N6" s="194"/>
      <c r="O6" s="194"/>
      <c r="P6" s="194"/>
      <c r="Q6" s="194"/>
      <c r="R6" s="146"/>
      <c r="S6" s="146"/>
      <c r="T6" s="146"/>
      <c r="U6" s="146"/>
      <c r="V6" s="190"/>
      <c r="W6" s="194"/>
      <c r="X6" s="203">
        <f>SUM(D6:W6)</f>
        <v>4000</v>
      </c>
      <c r="Y6" s="1"/>
    </row>
    <row r="7" spans="2:67" ht="24.75" customHeight="1" x14ac:dyDescent="0.25">
      <c r="B7" s="142">
        <v>4</v>
      </c>
      <c r="C7" s="117" t="s">
        <v>175</v>
      </c>
      <c r="D7" s="148"/>
      <c r="E7" s="193"/>
      <c r="F7" s="193"/>
      <c r="G7" s="194"/>
      <c r="H7" s="146"/>
      <c r="I7" s="146"/>
      <c r="J7" s="146"/>
      <c r="K7" s="146"/>
      <c r="L7" s="146"/>
      <c r="M7" s="197"/>
      <c r="N7" s="194"/>
      <c r="O7" s="194"/>
      <c r="P7" s="194"/>
      <c r="Q7" s="194"/>
      <c r="R7" s="146"/>
      <c r="S7" s="146"/>
      <c r="T7" s="146"/>
      <c r="U7" s="146"/>
      <c r="V7" s="146"/>
      <c r="W7" s="194"/>
      <c r="X7" s="203">
        <f t="shared" ref="X7:X45" si="0">SUM(D7:W7)</f>
        <v>0</v>
      </c>
      <c r="Y7" s="3"/>
    </row>
    <row r="8" spans="2:67" ht="26.25" customHeight="1" x14ac:dyDescent="0.25">
      <c r="B8" s="11">
        <v>6</v>
      </c>
      <c r="C8" s="3" t="s">
        <v>5</v>
      </c>
      <c r="D8" s="148"/>
      <c r="E8" s="195"/>
      <c r="F8" s="195"/>
      <c r="G8" s="195"/>
      <c r="H8" s="122"/>
      <c r="I8" s="122"/>
      <c r="J8" s="122"/>
      <c r="K8" s="122"/>
      <c r="L8" s="122"/>
      <c r="M8" s="198"/>
      <c r="N8" s="195"/>
      <c r="O8" s="195"/>
      <c r="P8" s="195"/>
      <c r="Q8" s="195"/>
      <c r="R8" s="122"/>
      <c r="S8" s="122"/>
      <c r="T8" s="122"/>
      <c r="U8" s="122"/>
      <c r="V8" s="122"/>
      <c r="W8" s="195"/>
      <c r="X8" s="203">
        <f t="shared" si="0"/>
        <v>0</v>
      </c>
      <c r="Y8" s="3"/>
    </row>
    <row r="9" spans="2:67" ht="23.25" customHeight="1" x14ac:dyDescent="0.25">
      <c r="B9" s="11">
        <v>19</v>
      </c>
      <c r="C9" s="3" t="s">
        <v>42</v>
      </c>
      <c r="D9" s="148"/>
      <c r="E9" s="195"/>
      <c r="F9" s="195"/>
      <c r="G9" s="195"/>
      <c r="H9" s="122"/>
      <c r="I9" s="122"/>
      <c r="J9" s="122"/>
      <c r="K9" s="122"/>
      <c r="L9" s="122"/>
      <c r="M9" s="198"/>
      <c r="N9" s="195"/>
      <c r="O9" s="195"/>
      <c r="P9" s="195"/>
      <c r="Q9" s="195"/>
      <c r="R9" s="122"/>
      <c r="S9" s="122"/>
      <c r="T9" s="122"/>
      <c r="U9" s="122"/>
      <c r="V9" s="122"/>
      <c r="W9" s="195"/>
      <c r="X9" s="203">
        <f t="shared" si="0"/>
        <v>0</v>
      </c>
      <c r="Y9" s="3"/>
    </row>
    <row r="10" spans="2:67" ht="24.75" customHeight="1" x14ac:dyDescent="0.25">
      <c r="B10" s="11">
        <v>31</v>
      </c>
      <c r="C10" s="118" t="s">
        <v>65</v>
      </c>
      <c r="D10" s="148"/>
      <c r="E10" s="195"/>
      <c r="F10" s="195"/>
      <c r="G10" s="195"/>
      <c r="H10" s="122"/>
      <c r="I10" s="122"/>
      <c r="J10" s="122"/>
      <c r="K10" s="122"/>
      <c r="L10" s="122"/>
      <c r="M10" s="198"/>
      <c r="N10" s="195"/>
      <c r="O10" s="195"/>
      <c r="P10" s="195"/>
      <c r="Q10" s="195"/>
      <c r="R10" s="122"/>
      <c r="S10" s="122"/>
      <c r="T10" s="122"/>
      <c r="U10" s="122"/>
      <c r="V10" s="122"/>
      <c r="W10" s="195"/>
      <c r="X10" s="203">
        <f t="shared" si="0"/>
        <v>0</v>
      </c>
      <c r="Y10" s="3"/>
    </row>
    <row r="11" spans="2:67" ht="26.25" customHeight="1" x14ac:dyDescent="0.25">
      <c r="B11" s="11">
        <v>38</v>
      </c>
      <c r="C11" s="118" t="s">
        <v>181</v>
      </c>
      <c r="D11" s="148"/>
      <c r="E11" s="195"/>
      <c r="F11" s="195"/>
      <c r="G11" s="195"/>
      <c r="H11" s="122"/>
      <c r="I11" s="122"/>
      <c r="J11" s="122"/>
      <c r="K11" s="122"/>
      <c r="L11" s="122"/>
      <c r="M11" s="198"/>
      <c r="N11" s="195"/>
      <c r="O11" s="195"/>
      <c r="P11" s="195"/>
      <c r="Q11" s="195"/>
      <c r="R11" s="122"/>
      <c r="S11" s="122"/>
      <c r="T11" s="122"/>
      <c r="U11" s="122"/>
      <c r="V11" s="122"/>
      <c r="W11" s="195"/>
      <c r="X11" s="203">
        <f t="shared" si="0"/>
        <v>0</v>
      </c>
      <c r="Y11" s="3"/>
    </row>
    <row r="12" spans="2:67" ht="31.5" customHeight="1" x14ac:dyDescent="0.25">
      <c r="B12" s="11">
        <v>21</v>
      </c>
      <c r="C12" s="189" t="s">
        <v>43</v>
      </c>
      <c r="D12" s="148"/>
      <c r="E12" s="195"/>
      <c r="F12" s="195"/>
      <c r="G12" s="195"/>
      <c r="H12" s="122"/>
      <c r="I12" s="122"/>
      <c r="J12" s="122"/>
      <c r="K12" s="122"/>
      <c r="L12" s="122"/>
      <c r="M12" s="198"/>
      <c r="N12" s="195"/>
      <c r="O12" s="195"/>
      <c r="P12" s="195"/>
      <c r="Q12" s="195"/>
      <c r="R12" s="122"/>
      <c r="S12" s="122"/>
      <c r="T12" s="122"/>
      <c r="U12" s="122"/>
      <c r="V12" s="122"/>
      <c r="W12" s="195"/>
      <c r="X12" s="203">
        <f t="shared" si="0"/>
        <v>0</v>
      </c>
      <c r="Y12" s="3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spans="2:67" ht="23.25" customHeight="1" x14ac:dyDescent="0.25">
      <c r="B13" s="11">
        <v>24</v>
      </c>
      <c r="C13" s="239" t="s">
        <v>44</v>
      </c>
      <c r="D13" s="148"/>
      <c r="E13" s="10">
        <v>50</v>
      </c>
      <c r="F13" s="78"/>
      <c r="G13" s="78"/>
      <c r="H13" s="3"/>
      <c r="I13" s="3"/>
      <c r="J13" s="3"/>
      <c r="K13" s="3"/>
      <c r="L13" s="3"/>
      <c r="M13" s="88"/>
      <c r="N13" s="78"/>
      <c r="O13" s="10"/>
      <c r="P13" s="78"/>
      <c r="Q13" s="78"/>
      <c r="R13" s="3"/>
      <c r="S13" s="3"/>
      <c r="T13" s="52"/>
      <c r="U13" s="3"/>
      <c r="V13" s="3"/>
      <c r="W13" s="78"/>
      <c r="X13" s="203">
        <f t="shared" si="0"/>
        <v>50</v>
      </c>
      <c r="Y13" s="3"/>
    </row>
    <row r="14" spans="2:67" ht="32.25" customHeight="1" x14ac:dyDescent="0.25">
      <c r="B14" s="11" t="s">
        <v>126</v>
      </c>
      <c r="C14" s="240" t="s">
        <v>161</v>
      </c>
      <c r="D14" s="148"/>
      <c r="E14" s="78">
        <v>35</v>
      </c>
      <c r="F14" s="243">
        <v>0.82699999999999996</v>
      </c>
      <c r="G14" s="78"/>
      <c r="H14" s="3"/>
      <c r="I14" s="3"/>
      <c r="J14" s="3"/>
      <c r="K14" s="3"/>
      <c r="L14" s="3"/>
      <c r="M14" s="88"/>
      <c r="N14" s="78"/>
      <c r="O14" s="78"/>
      <c r="P14" s="78"/>
      <c r="Q14" s="78"/>
      <c r="R14" s="3"/>
      <c r="S14" s="3"/>
      <c r="T14" s="3"/>
      <c r="U14" s="3"/>
      <c r="V14" s="3"/>
      <c r="W14" s="78"/>
      <c r="X14" s="203">
        <f t="shared" si="0"/>
        <v>35.826999999999998</v>
      </c>
      <c r="Y14" s="243" t="s">
        <v>272</v>
      </c>
    </row>
    <row r="15" spans="2:67" ht="25.5" customHeight="1" x14ac:dyDescent="0.25">
      <c r="B15" s="11" t="s">
        <v>127</v>
      </c>
      <c r="C15" s="240" t="s">
        <v>151</v>
      </c>
      <c r="D15" s="148"/>
      <c r="E15" s="78"/>
      <c r="F15" s="78"/>
      <c r="G15" s="78"/>
      <c r="H15" s="3"/>
      <c r="I15" s="3"/>
      <c r="J15" s="3"/>
      <c r="K15" s="3"/>
      <c r="L15" s="3"/>
      <c r="M15" s="88"/>
      <c r="N15" s="78"/>
      <c r="O15" s="78"/>
      <c r="P15" s="78"/>
      <c r="Q15" s="78"/>
      <c r="R15" s="3"/>
      <c r="S15" s="3"/>
      <c r="T15" s="3"/>
      <c r="U15" s="3"/>
      <c r="V15" s="3"/>
      <c r="W15" s="78"/>
      <c r="X15" s="203">
        <f t="shared" si="0"/>
        <v>0</v>
      </c>
      <c r="Y15" s="3"/>
    </row>
    <row r="16" spans="2:67" ht="24.75" customHeight="1" x14ac:dyDescent="0.25">
      <c r="B16" s="11" t="s">
        <v>128</v>
      </c>
      <c r="C16" s="240" t="s">
        <v>160</v>
      </c>
      <c r="D16" s="148"/>
      <c r="E16" s="10"/>
      <c r="F16" s="78"/>
      <c r="G16" s="78"/>
      <c r="H16" s="3"/>
      <c r="I16" s="3"/>
      <c r="J16" s="3"/>
      <c r="K16" s="3"/>
      <c r="L16" s="3"/>
      <c r="M16" s="88"/>
      <c r="N16" s="78"/>
      <c r="O16" s="78"/>
      <c r="P16" s="78"/>
      <c r="Q16" s="78"/>
      <c r="R16" s="3"/>
      <c r="S16" s="3"/>
      <c r="T16" s="3"/>
      <c r="U16" s="3"/>
      <c r="V16" s="3"/>
      <c r="W16" s="78"/>
      <c r="X16" s="203">
        <f t="shared" si="0"/>
        <v>0</v>
      </c>
      <c r="Y16" s="3"/>
    </row>
    <row r="17" spans="2:48" ht="27" customHeight="1" x14ac:dyDescent="0.25">
      <c r="B17" s="11" t="s">
        <v>129</v>
      </c>
      <c r="C17" s="240" t="s">
        <v>238</v>
      </c>
      <c r="D17" s="148"/>
      <c r="E17" s="10"/>
      <c r="F17" s="78"/>
      <c r="G17" s="78"/>
      <c r="H17" s="3"/>
      <c r="I17" s="3"/>
      <c r="J17" s="3"/>
      <c r="K17" s="3"/>
      <c r="L17" s="52"/>
      <c r="M17" s="88"/>
      <c r="N17" s="78"/>
      <c r="O17" s="78"/>
      <c r="P17" s="78"/>
      <c r="Q17" s="78"/>
      <c r="R17" s="3"/>
      <c r="S17" s="3"/>
      <c r="T17" s="3"/>
      <c r="U17" s="3"/>
      <c r="V17" s="3"/>
      <c r="W17" s="78"/>
      <c r="X17" s="203">
        <f t="shared" si="0"/>
        <v>0</v>
      </c>
      <c r="Y17" s="3"/>
    </row>
    <row r="18" spans="2:48" ht="24.75" customHeight="1" x14ac:dyDescent="0.25">
      <c r="B18" s="11" t="s">
        <v>239</v>
      </c>
      <c r="C18" s="240" t="s">
        <v>235</v>
      </c>
      <c r="D18" s="148"/>
      <c r="E18" s="10"/>
      <c r="F18" s="78"/>
      <c r="G18" s="78"/>
      <c r="H18" s="3">
        <v>5</v>
      </c>
      <c r="I18" s="3"/>
      <c r="J18" s="3"/>
      <c r="K18" s="3"/>
      <c r="L18" s="3"/>
      <c r="M18" s="88"/>
      <c r="N18" s="78"/>
      <c r="O18" s="78"/>
      <c r="P18" s="78"/>
      <c r="Q18" s="78"/>
      <c r="R18" s="3"/>
      <c r="S18" s="3"/>
      <c r="T18" s="3"/>
      <c r="U18" s="3"/>
      <c r="V18" s="3"/>
      <c r="W18" s="78"/>
      <c r="X18" s="203">
        <f t="shared" si="0"/>
        <v>5</v>
      </c>
      <c r="Y18" s="3"/>
    </row>
    <row r="19" spans="2:48" ht="21.75" customHeight="1" x14ac:dyDescent="0.25">
      <c r="B19" s="11" t="s">
        <v>130</v>
      </c>
      <c r="C19" s="240" t="s">
        <v>163</v>
      </c>
      <c r="D19" s="148"/>
      <c r="E19" s="10"/>
      <c r="F19" s="78"/>
      <c r="G19" s="78"/>
      <c r="H19" s="189"/>
      <c r="I19" s="3"/>
      <c r="J19" s="3"/>
      <c r="K19" s="3"/>
      <c r="L19" s="3"/>
      <c r="M19" s="88"/>
      <c r="N19" s="78"/>
      <c r="O19" s="78"/>
      <c r="P19" s="78"/>
      <c r="Q19" s="78"/>
      <c r="R19" s="3"/>
      <c r="S19" s="3"/>
      <c r="T19" s="3"/>
      <c r="U19" s="3"/>
      <c r="V19" s="3"/>
      <c r="W19" s="78"/>
      <c r="X19" s="203">
        <f t="shared" si="0"/>
        <v>0</v>
      </c>
      <c r="Y19" s="3"/>
    </row>
    <row r="20" spans="2:48" ht="25.5" customHeight="1" x14ac:dyDescent="0.25">
      <c r="B20" s="11" t="s">
        <v>131</v>
      </c>
      <c r="C20" s="240" t="s">
        <v>159</v>
      </c>
      <c r="D20" s="148"/>
      <c r="E20" s="78">
        <v>5</v>
      </c>
      <c r="F20" s="78"/>
      <c r="G20" s="78"/>
      <c r="H20" s="3"/>
      <c r="I20" s="3"/>
      <c r="J20" s="3"/>
      <c r="K20" s="3"/>
      <c r="L20" s="3"/>
      <c r="M20" s="88"/>
      <c r="N20" s="78"/>
      <c r="O20" s="78"/>
      <c r="P20" s="78"/>
      <c r="Q20" s="78"/>
      <c r="R20" s="3"/>
      <c r="S20" s="3"/>
      <c r="T20" s="3"/>
      <c r="U20" s="3"/>
      <c r="V20" s="3"/>
      <c r="W20" s="78"/>
      <c r="X20" s="203">
        <f t="shared" si="0"/>
        <v>5</v>
      </c>
      <c r="Y20" s="3"/>
    </row>
    <row r="21" spans="2:48" ht="33" customHeight="1" x14ac:dyDescent="0.25">
      <c r="B21" s="11" t="s">
        <v>236</v>
      </c>
      <c r="C21" s="189" t="s">
        <v>177</v>
      </c>
      <c r="D21" s="148"/>
      <c r="E21" s="78"/>
      <c r="F21" s="78"/>
      <c r="G21" s="78"/>
      <c r="H21" s="3"/>
      <c r="I21" s="3"/>
      <c r="J21" s="3"/>
      <c r="K21" s="3"/>
      <c r="L21" s="3"/>
      <c r="M21" s="88"/>
      <c r="N21" s="78"/>
      <c r="O21" s="78"/>
      <c r="P21" s="78"/>
      <c r="Q21" s="78"/>
      <c r="R21" s="3"/>
      <c r="S21" s="3"/>
      <c r="T21" s="3"/>
      <c r="U21" s="3"/>
      <c r="V21" s="3"/>
      <c r="W21" s="78"/>
      <c r="X21" s="203">
        <f t="shared" si="0"/>
        <v>0</v>
      </c>
      <c r="Y21" s="3"/>
    </row>
    <row r="22" spans="2:48" ht="27.75" customHeight="1" x14ac:dyDescent="0.25">
      <c r="B22" s="11" t="s">
        <v>237</v>
      </c>
      <c r="C22" s="189" t="s">
        <v>162</v>
      </c>
      <c r="D22" s="148"/>
      <c r="E22" s="10"/>
      <c r="F22" s="78"/>
      <c r="G22" s="78"/>
      <c r="H22" s="3"/>
      <c r="I22" s="3"/>
      <c r="J22" s="3"/>
      <c r="K22" s="3"/>
      <c r="L22" s="3"/>
      <c r="M22" s="88"/>
      <c r="N22" s="78"/>
      <c r="O22" s="78"/>
      <c r="P22" s="78"/>
      <c r="Q22" s="78"/>
      <c r="R22" s="3"/>
      <c r="S22" s="3"/>
      <c r="T22" s="52"/>
      <c r="U22" s="3"/>
      <c r="V22" s="3"/>
      <c r="W22" s="78"/>
      <c r="X22" s="203">
        <f t="shared" si="0"/>
        <v>0</v>
      </c>
      <c r="Y22" s="3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2:48" ht="25.5" customHeight="1" x14ac:dyDescent="0.25">
      <c r="B23" s="11" t="s">
        <v>219</v>
      </c>
      <c r="C23" s="240" t="s">
        <v>223</v>
      </c>
      <c r="D23" s="148"/>
      <c r="E23" s="10"/>
      <c r="F23" s="78"/>
      <c r="G23" s="78"/>
      <c r="H23" s="3"/>
      <c r="I23" s="3"/>
      <c r="J23" s="3"/>
      <c r="K23" s="3"/>
      <c r="L23" s="3"/>
      <c r="M23" s="88"/>
      <c r="N23" s="78"/>
      <c r="O23" s="78"/>
      <c r="P23" s="78"/>
      <c r="Q23" s="78"/>
      <c r="R23" s="3"/>
      <c r="S23" s="3"/>
      <c r="T23" s="3"/>
      <c r="U23" s="3"/>
      <c r="V23" s="3"/>
      <c r="W23" s="78"/>
      <c r="X23" s="203">
        <f t="shared" si="0"/>
        <v>0</v>
      </c>
      <c r="Y23" s="3"/>
    </row>
    <row r="24" spans="2:48" ht="23.25" customHeight="1" x14ac:dyDescent="0.25">
      <c r="B24" s="11" t="s">
        <v>268</v>
      </c>
      <c r="C24" s="240" t="s">
        <v>224</v>
      </c>
      <c r="D24" s="148"/>
      <c r="E24" s="78"/>
      <c r="F24" s="78"/>
      <c r="G24" s="78"/>
      <c r="H24" s="3">
        <v>5</v>
      </c>
      <c r="I24" s="3"/>
      <c r="J24" s="3"/>
      <c r="K24" s="3"/>
      <c r="L24" s="3"/>
      <c r="M24" s="88"/>
      <c r="N24" s="78"/>
      <c r="O24" s="78"/>
      <c r="P24" s="78"/>
      <c r="Q24" s="78"/>
      <c r="R24" s="3"/>
      <c r="S24" s="3"/>
      <c r="T24" s="3"/>
      <c r="U24" s="3"/>
      <c r="V24" s="3"/>
      <c r="W24" s="78"/>
      <c r="X24" s="203">
        <f t="shared" ref="X24" si="1">SUM(D24:W24)</f>
        <v>5</v>
      </c>
      <c r="Y24" s="3"/>
    </row>
    <row r="25" spans="2:48" ht="23.25" customHeight="1" thickBot="1" x14ac:dyDescent="0.3">
      <c r="B25" s="11" t="s">
        <v>266</v>
      </c>
      <c r="C25" s="1" t="s">
        <v>267</v>
      </c>
      <c r="D25" s="148"/>
      <c r="E25" s="78"/>
      <c r="F25" s="78"/>
      <c r="G25" s="78"/>
      <c r="H25" s="3"/>
      <c r="I25" s="3"/>
      <c r="J25" s="3"/>
      <c r="K25" s="3"/>
      <c r="L25" s="3"/>
      <c r="M25" s="88"/>
      <c r="N25" s="78"/>
      <c r="O25" s="78"/>
      <c r="P25" s="78"/>
      <c r="Q25" s="78"/>
      <c r="R25" s="3"/>
      <c r="S25" s="3"/>
      <c r="T25" s="3"/>
      <c r="U25" s="3"/>
      <c r="V25" s="3"/>
      <c r="W25" s="78"/>
      <c r="X25" s="203">
        <f t="shared" si="0"/>
        <v>0</v>
      </c>
      <c r="Y25" s="3"/>
    </row>
    <row r="26" spans="2:48" ht="40.5" customHeight="1" x14ac:dyDescent="0.25">
      <c r="B26" s="200" t="s">
        <v>72</v>
      </c>
      <c r="C26" s="199" t="s">
        <v>246</v>
      </c>
      <c r="D26" s="126">
        <v>4</v>
      </c>
      <c r="E26" s="126">
        <v>5</v>
      </c>
      <c r="F26" s="126">
        <v>6</v>
      </c>
      <c r="G26" s="126">
        <v>7</v>
      </c>
      <c r="H26" s="145">
        <v>10</v>
      </c>
      <c r="I26" s="145">
        <v>11</v>
      </c>
      <c r="J26" s="145">
        <v>12</v>
      </c>
      <c r="K26" s="145">
        <v>13</v>
      </c>
      <c r="L26" s="145">
        <v>14</v>
      </c>
      <c r="M26" s="145" t="s">
        <v>247</v>
      </c>
      <c r="N26" s="145">
        <v>19</v>
      </c>
      <c r="O26" s="145">
        <v>19</v>
      </c>
      <c r="P26" s="145">
        <v>20</v>
      </c>
      <c r="Q26" s="145">
        <v>21</v>
      </c>
      <c r="R26" s="145">
        <v>24</v>
      </c>
      <c r="S26" s="145">
        <v>25</v>
      </c>
      <c r="T26" s="145">
        <v>26</v>
      </c>
      <c r="U26" s="145">
        <v>27</v>
      </c>
      <c r="V26" s="145">
        <v>28</v>
      </c>
      <c r="W26" s="145">
        <v>31</v>
      </c>
      <c r="X26" s="169" t="s">
        <v>124</v>
      </c>
      <c r="Y26" s="3"/>
    </row>
    <row r="27" spans="2:48" ht="23.25" customHeight="1" x14ac:dyDescent="0.25">
      <c r="B27" s="11" t="s">
        <v>132</v>
      </c>
      <c r="C27" s="118" t="s">
        <v>156</v>
      </c>
      <c r="D27" s="148"/>
      <c r="E27" s="78"/>
      <c r="F27" s="78"/>
      <c r="G27" s="78"/>
      <c r="H27" s="3"/>
      <c r="I27" s="3"/>
      <c r="J27" s="3"/>
      <c r="K27" s="3"/>
      <c r="L27" s="3"/>
      <c r="M27" s="88"/>
      <c r="N27" s="78"/>
      <c r="O27" s="78"/>
      <c r="P27" s="78"/>
      <c r="Q27" s="78"/>
      <c r="R27" s="3"/>
      <c r="S27" s="3"/>
      <c r="T27" s="3"/>
      <c r="U27" s="3"/>
      <c r="V27" s="3"/>
      <c r="W27" s="78"/>
      <c r="X27" s="203">
        <f t="shared" si="0"/>
        <v>0</v>
      </c>
      <c r="Y27" s="1"/>
    </row>
    <row r="28" spans="2:48" ht="25.5" customHeight="1" x14ac:dyDescent="0.25">
      <c r="B28" s="11" t="s">
        <v>133</v>
      </c>
      <c r="C28" s="118" t="s">
        <v>154</v>
      </c>
      <c r="D28" s="148"/>
      <c r="E28" s="78"/>
      <c r="F28" s="78"/>
      <c r="G28" s="78"/>
      <c r="H28" s="3"/>
      <c r="I28" s="3"/>
      <c r="J28" s="3"/>
      <c r="K28" s="3"/>
      <c r="L28" s="3"/>
      <c r="M28" s="88"/>
      <c r="N28" s="78"/>
      <c r="O28" s="78"/>
      <c r="P28" s="78"/>
      <c r="Q28" s="78"/>
      <c r="R28" s="3"/>
      <c r="S28" s="3"/>
      <c r="T28" s="3"/>
      <c r="U28" s="3"/>
      <c r="V28" s="3"/>
      <c r="W28" s="78"/>
      <c r="X28" s="203">
        <f t="shared" si="0"/>
        <v>0</v>
      </c>
      <c r="Y28" s="1"/>
    </row>
    <row r="29" spans="2:48" ht="27.75" customHeight="1" x14ac:dyDescent="0.25">
      <c r="B29" s="11" t="s">
        <v>134</v>
      </c>
      <c r="C29" s="118" t="s">
        <v>152</v>
      </c>
      <c r="D29" s="148"/>
      <c r="E29" s="78"/>
      <c r="F29" s="78"/>
      <c r="G29" s="78"/>
      <c r="H29" s="3"/>
      <c r="I29" s="3"/>
      <c r="J29" s="3"/>
      <c r="K29" s="3"/>
      <c r="L29" s="3"/>
      <c r="M29" s="88"/>
      <c r="N29" s="78"/>
      <c r="O29" s="78"/>
      <c r="P29" s="78"/>
      <c r="Q29" s="78"/>
      <c r="R29" s="3"/>
      <c r="S29" s="3"/>
      <c r="T29" s="3"/>
      <c r="U29" s="3"/>
      <c r="V29" s="3"/>
      <c r="W29" s="78"/>
      <c r="X29" s="203">
        <f t="shared" si="0"/>
        <v>0</v>
      </c>
      <c r="Y29" s="1"/>
    </row>
    <row r="30" spans="2:48" ht="27" customHeight="1" x14ac:dyDescent="0.25">
      <c r="B30" s="11" t="s">
        <v>135</v>
      </c>
      <c r="C30" s="118" t="s">
        <v>210</v>
      </c>
      <c r="D30" s="148"/>
      <c r="E30" s="78"/>
      <c r="F30" s="78"/>
      <c r="G30" s="78"/>
      <c r="H30" s="3"/>
      <c r="I30" s="3"/>
      <c r="J30" s="3"/>
      <c r="K30" s="3"/>
      <c r="L30" s="3"/>
      <c r="M30" s="88"/>
      <c r="N30" s="78"/>
      <c r="O30" s="78"/>
      <c r="P30" s="78"/>
      <c r="Q30" s="78"/>
      <c r="R30" s="3"/>
      <c r="S30" s="3"/>
      <c r="T30" s="3"/>
      <c r="U30" s="3"/>
      <c r="V30" s="3"/>
      <c r="W30" s="78"/>
      <c r="X30" s="203">
        <f t="shared" si="0"/>
        <v>0</v>
      </c>
      <c r="Y30" s="1"/>
    </row>
    <row r="31" spans="2:48" ht="32.25" customHeight="1" x14ac:dyDescent="0.25">
      <c r="B31" s="11" t="s">
        <v>136</v>
      </c>
      <c r="C31" s="118" t="s">
        <v>155</v>
      </c>
      <c r="D31" s="148"/>
      <c r="E31" s="78"/>
      <c r="F31" s="78"/>
      <c r="G31" s="78"/>
      <c r="H31" s="3"/>
      <c r="I31" s="3"/>
      <c r="J31" s="3"/>
      <c r="K31" s="3"/>
      <c r="L31" s="3"/>
      <c r="M31" s="88"/>
      <c r="N31" s="78"/>
      <c r="O31" s="78"/>
      <c r="P31" s="78"/>
      <c r="Q31" s="78"/>
      <c r="R31" s="3"/>
      <c r="S31" s="3"/>
      <c r="T31" s="3"/>
      <c r="U31" s="3"/>
      <c r="V31" s="3"/>
      <c r="W31" s="78"/>
      <c r="X31" s="203">
        <f t="shared" si="0"/>
        <v>0</v>
      </c>
      <c r="Y31" s="1"/>
    </row>
    <row r="32" spans="2:48" ht="32.25" customHeight="1" x14ac:dyDescent="0.25">
      <c r="B32" s="11" t="s">
        <v>137</v>
      </c>
      <c r="C32" s="118" t="s">
        <v>158</v>
      </c>
      <c r="D32" s="148"/>
      <c r="E32" s="78"/>
      <c r="F32" s="78"/>
      <c r="G32" s="78"/>
      <c r="H32" s="3"/>
      <c r="I32" s="3"/>
      <c r="J32" s="3"/>
      <c r="K32" s="3"/>
      <c r="L32" s="3"/>
      <c r="M32" s="88"/>
      <c r="N32" s="78"/>
      <c r="O32" s="78"/>
      <c r="P32" s="78"/>
      <c r="Q32" s="78"/>
      <c r="R32" s="3"/>
      <c r="S32" s="3"/>
      <c r="T32" s="3"/>
      <c r="U32" s="3"/>
      <c r="V32" s="3"/>
      <c r="W32" s="78"/>
      <c r="X32" s="203">
        <f t="shared" si="0"/>
        <v>0</v>
      </c>
      <c r="Y32" s="1"/>
    </row>
    <row r="33" spans="2:25" ht="22.5" customHeight="1" x14ac:dyDescent="0.25">
      <c r="B33" s="11" t="s">
        <v>138</v>
      </c>
      <c r="C33" s="118" t="s">
        <v>208</v>
      </c>
      <c r="D33" s="148"/>
      <c r="E33" s="78"/>
      <c r="F33" s="78"/>
      <c r="G33" s="78"/>
      <c r="H33" s="3"/>
      <c r="I33" s="3"/>
      <c r="J33" s="3"/>
      <c r="K33" s="3"/>
      <c r="L33" s="3"/>
      <c r="M33" s="88"/>
      <c r="N33" s="78"/>
      <c r="O33" s="78"/>
      <c r="P33" s="78"/>
      <c r="Q33" s="78"/>
      <c r="R33" s="3"/>
      <c r="S33" s="3"/>
      <c r="T33" s="3"/>
      <c r="U33" s="3"/>
      <c r="V33" s="3"/>
      <c r="W33" s="78"/>
      <c r="X33" s="203">
        <f t="shared" si="0"/>
        <v>0</v>
      </c>
      <c r="Y33" s="1"/>
    </row>
    <row r="34" spans="2:25" ht="25.5" customHeight="1" x14ac:dyDescent="0.25">
      <c r="B34" s="11" t="s">
        <v>139</v>
      </c>
      <c r="C34" s="118" t="s">
        <v>211</v>
      </c>
      <c r="D34" s="78"/>
      <c r="E34" s="78"/>
      <c r="F34" s="78"/>
      <c r="G34" s="78"/>
      <c r="H34" s="3"/>
      <c r="I34" s="3"/>
      <c r="J34" s="3"/>
      <c r="K34" s="3"/>
      <c r="L34" s="3"/>
      <c r="M34" s="88"/>
      <c r="N34" s="78"/>
      <c r="O34" s="78"/>
      <c r="P34" s="78"/>
      <c r="Q34" s="78"/>
      <c r="R34" s="3"/>
      <c r="S34" s="3"/>
      <c r="T34" s="3"/>
      <c r="U34" s="3"/>
      <c r="V34" s="3"/>
      <c r="W34" s="78"/>
      <c r="X34" s="203">
        <f t="shared" si="0"/>
        <v>0</v>
      </c>
      <c r="Y34" s="1"/>
    </row>
    <row r="35" spans="2:25" ht="25.5" customHeight="1" x14ac:dyDescent="0.25">
      <c r="B35" s="11" t="s">
        <v>140</v>
      </c>
      <c r="C35" s="118" t="s">
        <v>153</v>
      </c>
      <c r="D35" s="78"/>
      <c r="E35" s="78"/>
      <c r="F35" s="78"/>
      <c r="G35" s="78"/>
      <c r="H35" s="3"/>
      <c r="I35" s="3"/>
      <c r="J35" s="3"/>
      <c r="K35" s="3"/>
      <c r="L35" s="3"/>
      <c r="M35" s="88"/>
      <c r="N35" s="78"/>
      <c r="O35" s="78"/>
      <c r="P35" s="78"/>
      <c r="Q35" s="78"/>
      <c r="R35" s="3"/>
      <c r="S35" s="3"/>
      <c r="T35" s="3"/>
      <c r="U35" s="3"/>
      <c r="V35" s="3"/>
      <c r="W35" s="78"/>
      <c r="X35" s="203">
        <f t="shared" si="0"/>
        <v>0</v>
      </c>
      <c r="Y35" s="1"/>
    </row>
    <row r="36" spans="2:25" ht="25.5" customHeight="1" x14ac:dyDescent="0.25">
      <c r="B36" s="11" t="s">
        <v>141</v>
      </c>
      <c r="C36" s="118" t="s">
        <v>209</v>
      </c>
      <c r="D36" s="78"/>
      <c r="E36" s="78"/>
      <c r="F36" s="78"/>
      <c r="G36" s="78"/>
      <c r="H36" s="3"/>
      <c r="I36" s="3"/>
      <c r="J36" s="3"/>
      <c r="K36" s="3"/>
      <c r="L36" s="3"/>
      <c r="M36" s="88"/>
      <c r="N36" s="78"/>
      <c r="O36" s="10"/>
      <c r="P36" s="78"/>
      <c r="Q36" s="78"/>
      <c r="R36" s="52"/>
      <c r="S36" s="3"/>
      <c r="T36" s="3"/>
      <c r="U36" s="3"/>
      <c r="V36" s="3"/>
      <c r="W36" s="78"/>
      <c r="X36" s="203">
        <f t="shared" si="0"/>
        <v>0</v>
      </c>
      <c r="Y36" s="1"/>
    </row>
    <row r="37" spans="2:25" ht="25.5" customHeight="1" x14ac:dyDescent="0.25">
      <c r="B37" s="11" t="s">
        <v>142</v>
      </c>
      <c r="C37" s="118" t="s">
        <v>157</v>
      </c>
      <c r="D37" s="78"/>
      <c r="E37" s="78"/>
      <c r="F37" s="78"/>
      <c r="G37" s="78"/>
      <c r="H37" s="3"/>
      <c r="I37" s="3"/>
      <c r="J37" s="3"/>
      <c r="K37" s="3"/>
      <c r="L37" s="3"/>
      <c r="M37" s="88"/>
      <c r="N37" s="78"/>
      <c r="O37" s="10"/>
      <c r="P37" s="78"/>
      <c r="Q37" s="78"/>
      <c r="R37" s="3"/>
      <c r="S37" s="3"/>
      <c r="T37" s="3"/>
      <c r="U37" s="3"/>
      <c r="V37" s="3"/>
      <c r="W37" s="78"/>
      <c r="X37" s="203">
        <f t="shared" si="0"/>
        <v>0</v>
      </c>
      <c r="Y37" s="1"/>
    </row>
    <row r="38" spans="2:25" ht="25.5" customHeight="1" x14ac:dyDescent="0.25">
      <c r="B38" s="11" t="s">
        <v>245</v>
      </c>
      <c r="C38" s="118" t="s">
        <v>244</v>
      </c>
      <c r="D38" s="78"/>
      <c r="E38" s="78"/>
      <c r="F38" s="78"/>
      <c r="G38" s="78"/>
      <c r="H38" s="3"/>
      <c r="I38" s="3"/>
      <c r="J38" s="3"/>
      <c r="K38" s="3"/>
      <c r="L38" s="3"/>
      <c r="M38" s="88"/>
      <c r="N38" s="78"/>
      <c r="O38" s="10"/>
      <c r="P38" s="78"/>
      <c r="Q38" s="78"/>
      <c r="R38" s="3"/>
      <c r="S38" s="3"/>
      <c r="T38" s="3"/>
      <c r="U38" s="3"/>
      <c r="V38" s="3"/>
      <c r="W38" s="78"/>
      <c r="X38" s="203">
        <f t="shared" si="0"/>
        <v>0</v>
      </c>
      <c r="Y38" s="1"/>
    </row>
    <row r="39" spans="2:25" ht="25.5" customHeight="1" x14ac:dyDescent="0.25">
      <c r="B39" s="11" t="s">
        <v>201</v>
      </c>
      <c r="C39" s="118" t="s">
        <v>221</v>
      </c>
      <c r="D39" s="78"/>
      <c r="E39" s="78"/>
      <c r="F39" s="78"/>
      <c r="G39" s="78"/>
      <c r="H39" s="3">
        <f>25+0.382</f>
        <v>25.382000000000001</v>
      </c>
      <c r="I39" s="3"/>
      <c r="J39" s="3"/>
      <c r="K39" s="3"/>
      <c r="L39" s="3"/>
      <c r="M39" s="88"/>
      <c r="N39" s="78"/>
      <c r="O39" s="10"/>
      <c r="P39" s="78"/>
      <c r="Q39" s="78"/>
      <c r="R39" s="3"/>
      <c r="S39" s="3"/>
      <c r="T39" s="3"/>
      <c r="U39" s="3"/>
      <c r="V39" s="3"/>
      <c r="W39" s="78"/>
      <c r="X39" s="203">
        <f t="shared" si="0"/>
        <v>25.382000000000001</v>
      </c>
      <c r="Y39" s="1"/>
    </row>
    <row r="40" spans="2:25" ht="25.5" customHeight="1" x14ac:dyDescent="0.25">
      <c r="B40" s="11" t="s">
        <v>199</v>
      </c>
      <c r="C40" s="118" t="s">
        <v>222</v>
      </c>
      <c r="D40" s="78"/>
      <c r="E40" s="78"/>
      <c r="F40" s="78"/>
      <c r="G40" s="78"/>
      <c r="H40" s="3"/>
      <c r="I40" s="3"/>
      <c r="J40" s="3"/>
      <c r="K40" s="3"/>
      <c r="L40" s="3"/>
      <c r="M40" s="88"/>
      <c r="N40" s="78"/>
      <c r="O40" s="78"/>
      <c r="P40" s="78"/>
      <c r="Q40" s="78"/>
      <c r="R40" s="3"/>
      <c r="S40" s="3"/>
      <c r="T40" s="3"/>
      <c r="U40" s="3"/>
      <c r="V40" s="3"/>
      <c r="W40" s="78"/>
      <c r="X40" s="203">
        <f t="shared" si="0"/>
        <v>0</v>
      </c>
      <c r="Y40" s="1"/>
    </row>
    <row r="41" spans="2:25" ht="25.5" customHeight="1" x14ac:dyDescent="0.25">
      <c r="B41" s="11" t="s">
        <v>203</v>
      </c>
      <c r="C41" s="171" t="s">
        <v>205</v>
      </c>
      <c r="D41" s="78"/>
      <c r="E41" s="78"/>
      <c r="F41" s="78"/>
      <c r="G41" s="78"/>
      <c r="H41" s="3"/>
      <c r="I41" s="3"/>
      <c r="J41" s="3"/>
      <c r="K41" s="3"/>
      <c r="L41" s="3"/>
      <c r="M41" s="88"/>
      <c r="N41" s="78"/>
      <c r="O41" s="78"/>
      <c r="P41" s="78"/>
      <c r="Q41" s="78"/>
      <c r="R41" s="3"/>
      <c r="S41" s="3"/>
      <c r="T41" s="3"/>
      <c r="U41" s="3"/>
      <c r="V41" s="3"/>
      <c r="W41" s="78"/>
      <c r="X41" s="203">
        <f t="shared" si="0"/>
        <v>0</v>
      </c>
      <c r="Y41" s="1"/>
    </row>
    <row r="42" spans="2:25" ht="25.5" customHeight="1" x14ac:dyDescent="0.25">
      <c r="B42" s="11" t="s">
        <v>206</v>
      </c>
      <c r="C42" s="171" t="s">
        <v>204</v>
      </c>
      <c r="D42" s="78"/>
      <c r="E42" s="78"/>
      <c r="F42" s="78"/>
      <c r="G42" s="78"/>
      <c r="H42" s="3"/>
      <c r="I42" s="3"/>
      <c r="J42" s="3"/>
      <c r="K42" s="3"/>
      <c r="L42" s="3"/>
      <c r="M42" s="88"/>
      <c r="N42" s="78"/>
      <c r="O42" s="78"/>
      <c r="P42" s="78"/>
      <c r="Q42" s="78"/>
      <c r="R42" s="3"/>
      <c r="S42" s="3"/>
      <c r="T42" s="3"/>
      <c r="U42" s="3"/>
      <c r="V42" s="3"/>
      <c r="W42" s="78"/>
      <c r="X42" s="203">
        <f t="shared" si="0"/>
        <v>0</v>
      </c>
      <c r="Y42" s="1"/>
    </row>
    <row r="43" spans="2:25" ht="25.5" customHeight="1" x14ac:dyDescent="0.25">
      <c r="B43" s="11" t="s">
        <v>230</v>
      </c>
      <c r="C43" s="118" t="s">
        <v>243</v>
      </c>
      <c r="D43" s="78"/>
      <c r="E43" s="78"/>
      <c r="F43" s="78"/>
      <c r="G43" s="78"/>
      <c r="H43" s="3"/>
      <c r="I43" s="3"/>
      <c r="J43" s="3"/>
      <c r="K43" s="3"/>
      <c r="L43" s="3"/>
      <c r="M43" s="88"/>
      <c r="N43" s="78"/>
      <c r="O43" s="78"/>
      <c r="P43" s="78"/>
      <c r="Q43" s="78"/>
      <c r="R43" s="3"/>
      <c r="S43" s="3"/>
      <c r="T43" s="3"/>
      <c r="U43" s="3"/>
      <c r="V43" s="3"/>
      <c r="W43" s="78"/>
      <c r="X43" s="203">
        <f t="shared" si="0"/>
        <v>0</v>
      </c>
      <c r="Y43" s="1"/>
    </row>
    <row r="44" spans="2:25" ht="25.5" customHeight="1" x14ac:dyDescent="0.25">
      <c r="B44" s="11">
        <v>40</v>
      </c>
      <c r="C44" s="118" t="s">
        <v>269</v>
      </c>
      <c r="D44" s="78"/>
      <c r="E44" s="78"/>
      <c r="F44" s="78"/>
      <c r="G44" s="78"/>
      <c r="H44" s="3"/>
      <c r="I44" s="3"/>
      <c r="J44" s="3"/>
      <c r="K44" s="3"/>
      <c r="L44" s="3"/>
      <c r="M44" s="88"/>
      <c r="N44" s="78"/>
      <c r="O44" s="78"/>
      <c r="P44" s="78"/>
      <c r="Q44" s="78"/>
      <c r="R44" s="3"/>
      <c r="S44" s="3"/>
      <c r="T44" s="3"/>
      <c r="U44" s="3"/>
      <c r="V44" s="3"/>
      <c r="W44" s="78"/>
      <c r="X44" s="203">
        <f t="shared" si="0"/>
        <v>0</v>
      </c>
      <c r="Y44" s="1"/>
    </row>
    <row r="45" spans="2:25" ht="25.5" customHeight="1" thickBot="1" x14ac:dyDescent="0.3">
      <c r="B45" s="11">
        <v>41</v>
      </c>
      <c r="C45" s="118" t="s">
        <v>179</v>
      </c>
      <c r="D45" s="78"/>
      <c r="E45" s="78"/>
      <c r="F45" s="78"/>
      <c r="G45" s="78"/>
      <c r="H45" s="3"/>
      <c r="I45" s="3"/>
      <c r="J45" s="3"/>
      <c r="K45" s="3"/>
      <c r="L45" s="3"/>
      <c r="M45" s="88"/>
      <c r="N45" s="78"/>
      <c r="O45" s="78"/>
      <c r="P45" s="78"/>
      <c r="Q45" s="78"/>
      <c r="R45" s="3"/>
      <c r="S45" s="3"/>
      <c r="T45" s="3"/>
      <c r="U45" s="3"/>
      <c r="V45" s="3"/>
      <c r="W45" s="78"/>
      <c r="X45" s="203">
        <f t="shared" si="0"/>
        <v>0</v>
      </c>
      <c r="Y45" s="1"/>
    </row>
    <row r="46" spans="2:25" ht="49.5" customHeight="1" x14ac:dyDescent="0.25">
      <c r="B46" s="200" t="s">
        <v>72</v>
      </c>
      <c r="C46" s="201" t="s">
        <v>122</v>
      </c>
      <c r="D46" s="126">
        <v>4</v>
      </c>
      <c r="E46" s="126">
        <v>5</v>
      </c>
      <c r="F46" s="126">
        <v>6</v>
      </c>
      <c r="G46" s="126">
        <v>7</v>
      </c>
      <c r="H46" s="145">
        <v>10</v>
      </c>
      <c r="I46" s="145">
        <v>11</v>
      </c>
      <c r="J46" s="145">
        <v>12</v>
      </c>
      <c r="K46" s="145">
        <v>13</v>
      </c>
      <c r="L46" s="145">
        <v>14</v>
      </c>
      <c r="M46" s="145" t="s">
        <v>247</v>
      </c>
      <c r="N46" s="145">
        <v>19</v>
      </c>
      <c r="O46" s="145">
        <v>19</v>
      </c>
      <c r="P46" s="145">
        <v>20</v>
      </c>
      <c r="Q46" s="145">
        <v>21</v>
      </c>
      <c r="R46" s="145">
        <v>24</v>
      </c>
      <c r="S46" s="145">
        <v>25</v>
      </c>
      <c r="T46" s="145">
        <v>26</v>
      </c>
      <c r="U46" s="145">
        <v>27</v>
      </c>
      <c r="V46" s="145">
        <v>28</v>
      </c>
      <c r="W46" s="145">
        <v>31</v>
      </c>
      <c r="X46" s="169" t="s">
        <v>124</v>
      </c>
      <c r="Y46" s="1"/>
    </row>
    <row r="47" spans="2:25" ht="27" customHeight="1" x14ac:dyDescent="0.25">
      <c r="B47" s="185">
        <v>400</v>
      </c>
      <c r="C47" s="1" t="s">
        <v>166</v>
      </c>
      <c r="D47" s="78"/>
      <c r="E47" s="78"/>
      <c r="F47" s="78"/>
      <c r="G47" s="78"/>
      <c r="H47" s="3"/>
      <c r="I47" s="3"/>
      <c r="J47" s="3"/>
      <c r="K47" s="3"/>
      <c r="L47" s="3"/>
      <c r="M47" s="88"/>
      <c r="N47" s="78"/>
      <c r="O47" s="78"/>
      <c r="P47" s="78"/>
      <c r="Q47" s="78"/>
      <c r="R47" s="3"/>
      <c r="S47" s="3"/>
      <c r="T47" s="3"/>
      <c r="U47" s="3"/>
      <c r="V47" s="3"/>
      <c r="W47" s="78"/>
      <c r="X47" s="203">
        <f>SUM(D47:W47)</f>
        <v>0</v>
      </c>
      <c r="Y47" s="1"/>
    </row>
    <row r="48" spans="2:25" ht="27" customHeight="1" x14ac:dyDescent="0.25">
      <c r="B48" s="11">
        <v>401</v>
      </c>
      <c r="C48" s="1" t="s">
        <v>165</v>
      </c>
      <c r="D48" s="78"/>
      <c r="E48" s="78"/>
      <c r="F48" s="78"/>
      <c r="G48" s="78"/>
      <c r="H48" s="3"/>
      <c r="I48" s="3"/>
      <c r="J48" s="3"/>
      <c r="K48" s="3"/>
      <c r="L48" s="3"/>
      <c r="M48" s="88"/>
      <c r="N48" s="78"/>
      <c r="O48" s="78"/>
      <c r="P48" s="78"/>
      <c r="Q48" s="78"/>
      <c r="R48" s="3"/>
      <c r="S48" s="3"/>
      <c r="T48" s="3"/>
      <c r="U48" s="3"/>
      <c r="V48" s="3"/>
      <c r="W48" s="78"/>
      <c r="X48" s="203">
        <f t="shared" ref="X48:X57" si="2">SUM(D48:W48)</f>
        <v>0</v>
      </c>
      <c r="Y48" s="1"/>
    </row>
    <row r="49" spans="2:25" ht="27" customHeight="1" x14ac:dyDescent="0.25">
      <c r="B49" s="11">
        <v>402</v>
      </c>
      <c r="C49" s="1" t="s">
        <v>171</v>
      </c>
      <c r="D49" s="78"/>
      <c r="E49" s="78"/>
      <c r="F49" s="78"/>
      <c r="G49" s="78"/>
      <c r="H49" s="3"/>
      <c r="I49" s="3"/>
      <c r="J49" s="3"/>
      <c r="K49" s="3"/>
      <c r="L49" s="3"/>
      <c r="M49" s="88"/>
      <c r="N49" s="78"/>
      <c r="O49" s="78"/>
      <c r="P49" s="78"/>
      <c r="Q49" s="78"/>
      <c r="R49" s="3"/>
      <c r="S49" s="3"/>
      <c r="T49" s="3"/>
      <c r="U49" s="3"/>
      <c r="V49" s="3"/>
      <c r="W49" s="78"/>
      <c r="X49" s="203">
        <f t="shared" si="2"/>
        <v>0</v>
      </c>
      <c r="Y49" s="1"/>
    </row>
    <row r="50" spans="2:25" ht="27" customHeight="1" x14ac:dyDescent="0.25">
      <c r="B50" s="11">
        <v>403</v>
      </c>
      <c r="C50" s="1" t="s">
        <v>172</v>
      </c>
      <c r="D50" s="78"/>
      <c r="E50" s="78"/>
      <c r="F50" s="78"/>
      <c r="G50" s="78"/>
      <c r="H50" s="3"/>
      <c r="I50" s="3"/>
      <c r="J50" s="3"/>
      <c r="K50" s="3"/>
      <c r="L50" s="3"/>
      <c r="M50" s="88"/>
      <c r="N50" s="78"/>
      <c r="O50" s="78"/>
      <c r="P50" s="78"/>
      <c r="Q50" s="78"/>
      <c r="R50" s="3"/>
      <c r="S50" s="3"/>
      <c r="T50" s="3"/>
      <c r="U50" s="3"/>
      <c r="V50" s="3"/>
      <c r="W50" s="78"/>
      <c r="X50" s="203">
        <f t="shared" si="2"/>
        <v>0</v>
      </c>
      <c r="Y50" s="1"/>
    </row>
    <row r="51" spans="2:25" ht="27" customHeight="1" x14ac:dyDescent="0.25">
      <c r="B51" s="11">
        <v>404</v>
      </c>
      <c r="C51" s="1" t="s">
        <v>173</v>
      </c>
      <c r="D51" s="78"/>
      <c r="E51" s="78"/>
      <c r="F51" s="78"/>
      <c r="G51" s="78"/>
      <c r="H51" s="3"/>
      <c r="I51" s="3"/>
      <c r="J51" s="3"/>
      <c r="K51" s="52"/>
      <c r="L51" s="3"/>
      <c r="M51" s="88"/>
      <c r="N51" s="78"/>
      <c r="O51" s="78"/>
      <c r="P51" s="78"/>
      <c r="Q51" s="78"/>
      <c r="R51" s="3"/>
      <c r="S51" s="3"/>
      <c r="T51" s="3"/>
      <c r="U51" s="3"/>
      <c r="V51" s="3"/>
      <c r="W51" s="78"/>
      <c r="X51" s="203">
        <f t="shared" si="2"/>
        <v>0</v>
      </c>
      <c r="Y51" s="1"/>
    </row>
    <row r="52" spans="2:25" ht="27" customHeight="1" x14ac:dyDescent="0.25">
      <c r="B52" s="11">
        <v>405</v>
      </c>
      <c r="C52" s="1" t="s">
        <v>174</v>
      </c>
      <c r="D52" s="78"/>
      <c r="E52" s="78"/>
      <c r="F52" s="78"/>
      <c r="G52" s="78"/>
      <c r="H52" s="3"/>
      <c r="I52" s="3"/>
      <c r="J52" s="3"/>
      <c r="K52" s="52"/>
      <c r="L52" s="3"/>
      <c r="M52" s="88"/>
      <c r="N52" s="78"/>
      <c r="O52" s="78"/>
      <c r="P52" s="78"/>
      <c r="Q52" s="78"/>
      <c r="R52" s="3"/>
      <c r="S52" s="3"/>
      <c r="T52" s="3"/>
      <c r="U52" s="3"/>
      <c r="V52" s="3"/>
      <c r="W52" s="78"/>
      <c r="X52" s="203">
        <f t="shared" si="2"/>
        <v>0</v>
      </c>
      <c r="Y52" s="1"/>
    </row>
    <row r="53" spans="2:25" ht="27" customHeight="1" x14ac:dyDescent="0.25">
      <c r="B53" s="11">
        <v>406</v>
      </c>
      <c r="C53" s="1" t="s">
        <v>190</v>
      </c>
      <c r="D53" s="78"/>
      <c r="E53" s="78"/>
      <c r="F53" s="78"/>
      <c r="G53" s="78"/>
      <c r="H53" s="3"/>
      <c r="I53" s="3"/>
      <c r="J53" s="3"/>
      <c r="K53" s="52"/>
      <c r="L53" s="3"/>
      <c r="M53" s="88"/>
      <c r="N53" s="78"/>
      <c r="O53" s="78"/>
      <c r="P53" s="78"/>
      <c r="Q53" s="78"/>
      <c r="R53" s="3"/>
      <c r="S53" s="3"/>
      <c r="T53" s="3"/>
      <c r="U53" s="3"/>
      <c r="V53" s="3"/>
      <c r="W53" s="78"/>
      <c r="X53" s="203">
        <f t="shared" si="2"/>
        <v>0</v>
      </c>
      <c r="Y53" s="1"/>
    </row>
    <row r="54" spans="2:25" ht="27" customHeight="1" x14ac:dyDescent="0.25">
      <c r="B54" s="186">
        <v>407</v>
      </c>
      <c r="C54" s="173" t="s">
        <v>191</v>
      </c>
      <c r="D54" s="78"/>
      <c r="E54" s="78"/>
      <c r="F54" s="78"/>
      <c r="G54" s="78"/>
      <c r="H54" s="3"/>
      <c r="I54" s="3"/>
      <c r="J54" s="3"/>
      <c r="K54" s="52"/>
      <c r="L54" s="3"/>
      <c r="M54" s="88"/>
      <c r="N54" s="78"/>
      <c r="O54" s="78"/>
      <c r="P54" s="78"/>
      <c r="Q54" s="78"/>
      <c r="R54" s="3"/>
      <c r="S54" s="3"/>
      <c r="T54" s="3"/>
      <c r="U54" s="3"/>
      <c r="V54" s="3"/>
      <c r="W54" s="78"/>
      <c r="X54" s="203">
        <f t="shared" si="2"/>
        <v>0</v>
      </c>
      <c r="Y54" s="1"/>
    </row>
    <row r="55" spans="2:25" ht="27" customHeight="1" x14ac:dyDescent="0.25">
      <c r="B55" s="186">
        <v>408</v>
      </c>
      <c r="C55" s="173" t="s">
        <v>198</v>
      </c>
      <c r="D55" s="196"/>
      <c r="E55" s="196"/>
      <c r="F55" s="196"/>
      <c r="G55" s="196"/>
      <c r="H55" s="46"/>
      <c r="I55" s="46"/>
      <c r="J55" s="46"/>
      <c r="K55" s="182"/>
      <c r="L55" s="46"/>
      <c r="M55" s="94"/>
      <c r="N55" s="196"/>
      <c r="O55" s="196"/>
      <c r="P55" s="196"/>
      <c r="Q55" s="196"/>
      <c r="R55" s="46"/>
      <c r="S55" s="46"/>
      <c r="T55" s="46"/>
      <c r="U55" s="46"/>
      <c r="V55" s="46"/>
      <c r="W55" s="196"/>
      <c r="X55" s="204">
        <f t="shared" si="2"/>
        <v>0</v>
      </c>
      <c r="Y55" s="173"/>
    </row>
    <row r="56" spans="2:25" s="5" customFormat="1" ht="27" customHeight="1" x14ac:dyDescent="0.25">
      <c r="B56" s="11">
        <v>409</v>
      </c>
      <c r="C56" s="1" t="s">
        <v>227</v>
      </c>
      <c r="D56" s="78"/>
      <c r="E56" s="78"/>
      <c r="F56" s="78"/>
      <c r="G56" s="78"/>
      <c r="H56" s="3"/>
      <c r="I56" s="3"/>
      <c r="J56" s="3"/>
      <c r="K56" s="52"/>
      <c r="L56" s="3"/>
      <c r="M56" s="88"/>
      <c r="N56" s="78"/>
      <c r="O56" s="78"/>
      <c r="P56" s="78"/>
      <c r="Q56" s="78"/>
      <c r="R56" s="3"/>
      <c r="S56" s="3"/>
      <c r="T56" s="3"/>
      <c r="U56" s="3"/>
      <c r="V56" s="3"/>
      <c r="W56" s="78"/>
      <c r="X56" s="52">
        <f t="shared" si="2"/>
        <v>0</v>
      </c>
      <c r="Y56" s="1"/>
    </row>
    <row r="57" spans="2:25" s="5" customFormat="1" ht="27" customHeight="1" x14ac:dyDescent="0.25">
      <c r="B57" s="142">
        <v>410</v>
      </c>
      <c r="C57" s="35" t="s">
        <v>233</v>
      </c>
      <c r="D57" s="48"/>
      <c r="E57" s="48"/>
      <c r="F57" s="48"/>
      <c r="G57" s="48"/>
      <c r="H57" s="117"/>
      <c r="I57" s="117"/>
      <c r="J57" s="117"/>
      <c r="K57" s="122"/>
      <c r="L57" s="117"/>
      <c r="M57" s="205"/>
      <c r="N57" s="48"/>
      <c r="O57" s="48"/>
      <c r="P57" s="48"/>
      <c r="Q57" s="48"/>
      <c r="R57" s="117"/>
      <c r="S57" s="117"/>
      <c r="T57" s="117"/>
      <c r="U57" s="117"/>
      <c r="V57" s="117"/>
      <c r="W57" s="48"/>
      <c r="X57" s="206">
        <f t="shared" si="2"/>
        <v>0</v>
      </c>
      <c r="Y57" s="35"/>
    </row>
  </sheetData>
  <mergeCells count="3">
    <mergeCell ref="B2:C2"/>
    <mergeCell ref="D3:G3"/>
    <mergeCell ref="B4:Y4"/>
  </mergeCells>
  <pageMargins left="0.7" right="0.7" top="0.75" bottom="0.75" header="0.3" footer="0.3"/>
  <pageSetup paperSize="9" scale="94" fitToWidth="0" fitToHeight="0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248"/>
  <sheetViews>
    <sheetView workbookViewId="0">
      <selection activeCell="H10" sqref="H10"/>
    </sheetView>
  </sheetViews>
  <sheetFormatPr baseColWidth="10" defaultRowHeight="15" x14ac:dyDescent="0.25"/>
  <cols>
    <col min="1" max="1" width="5.85546875" customWidth="1"/>
    <col min="2" max="3" width="22" customWidth="1"/>
    <col min="4" max="4" width="38" customWidth="1"/>
    <col min="5" max="5" width="14" customWidth="1"/>
    <col min="8" max="8" width="16.7109375" customWidth="1"/>
    <col min="12" max="12" width="21.5703125" customWidth="1"/>
    <col min="13" max="13" width="37.5703125" customWidth="1"/>
    <col min="14" max="14" width="19.140625" customWidth="1"/>
  </cols>
  <sheetData>
    <row r="2" spans="2:21" x14ac:dyDescent="0.25">
      <c r="J2" s="5"/>
    </row>
    <row r="3" spans="2:21" x14ac:dyDescent="0.25">
      <c r="J3" s="5"/>
    </row>
    <row r="4" spans="2:21" x14ac:dyDescent="0.25">
      <c r="J4" s="5"/>
    </row>
    <row r="5" spans="2:21" x14ac:dyDescent="0.25">
      <c r="J5" s="5"/>
    </row>
    <row r="6" spans="2:21" x14ac:dyDescent="0.25">
      <c r="J6" s="5"/>
    </row>
    <row r="7" spans="2:21" x14ac:dyDescent="0.25">
      <c r="J7" s="5"/>
    </row>
    <row r="8" spans="2:21" x14ac:dyDescent="0.25">
      <c r="J8" s="5"/>
    </row>
    <row r="9" spans="2:21" x14ac:dyDescent="0.25">
      <c r="J9" s="5"/>
    </row>
    <row r="10" spans="2:21" x14ac:dyDescent="0.25">
      <c r="J10" s="43"/>
      <c r="K10" s="4"/>
    </row>
    <row r="11" spans="2:21" x14ac:dyDescent="0.25">
      <c r="H11" s="43"/>
      <c r="I11" s="43"/>
      <c r="J11" s="43"/>
    </row>
    <row r="13" spans="2:21" x14ac:dyDescent="0.25">
      <c r="B13" s="263" t="s">
        <v>53</v>
      </c>
      <c r="C13" s="263"/>
      <c r="D13" s="263"/>
      <c r="E13" s="263"/>
      <c r="F13" s="263"/>
      <c r="G13" s="263"/>
      <c r="H13" s="263"/>
      <c r="I13" s="263"/>
      <c r="J13" s="263"/>
      <c r="K13" s="263"/>
      <c r="L13" s="43"/>
      <c r="M13" s="43"/>
      <c r="N13" s="43"/>
      <c r="R13" s="5"/>
      <c r="S13" s="5"/>
      <c r="T13" s="5"/>
      <c r="U13" s="5"/>
    </row>
    <row r="14" spans="2:21" x14ac:dyDescent="0.25">
      <c r="B14" s="85" t="s">
        <v>73</v>
      </c>
      <c r="C14" s="85" t="s">
        <v>63</v>
      </c>
      <c r="D14" s="85" t="s">
        <v>69</v>
      </c>
      <c r="E14" s="85" t="s">
        <v>57</v>
      </c>
      <c r="F14" s="85" t="s">
        <v>58</v>
      </c>
      <c r="G14" s="85" t="s">
        <v>59</v>
      </c>
      <c r="H14" s="85" t="s">
        <v>74</v>
      </c>
      <c r="I14" s="85" t="s">
        <v>88</v>
      </c>
      <c r="J14" s="85" t="s">
        <v>55</v>
      </c>
      <c r="K14" s="85" t="s">
        <v>76</v>
      </c>
      <c r="L14" s="56"/>
      <c r="M14" s="56"/>
      <c r="N14" s="43"/>
      <c r="O14" s="5"/>
      <c r="P14" s="5"/>
      <c r="Q14" s="5"/>
      <c r="R14" s="5"/>
    </row>
    <row r="15" spans="2:21" x14ac:dyDescent="0.25">
      <c r="B15" s="99">
        <v>1</v>
      </c>
      <c r="C15" s="99"/>
      <c r="D15" s="88"/>
      <c r="E15" s="88"/>
      <c r="F15" s="88"/>
      <c r="G15" s="88"/>
      <c r="H15" s="88"/>
      <c r="I15" s="88"/>
      <c r="J15" s="88">
        <v>257.60000000000002</v>
      </c>
      <c r="K15" s="88" t="s">
        <v>75</v>
      </c>
      <c r="L15" s="43"/>
      <c r="M15" s="43"/>
      <c r="N15" s="43"/>
    </row>
    <row r="16" spans="2:21" x14ac:dyDescent="0.25">
      <c r="B16" s="99">
        <v>2</v>
      </c>
      <c r="C16" s="99"/>
      <c r="D16" s="88"/>
      <c r="E16" s="88"/>
      <c r="F16" s="88"/>
      <c r="G16" s="88"/>
      <c r="H16" s="88"/>
      <c r="I16" s="88"/>
      <c r="J16" s="88">
        <v>488.30500000000001</v>
      </c>
      <c r="K16" s="88" t="s">
        <v>75</v>
      </c>
      <c r="L16" s="43"/>
      <c r="M16" s="43"/>
      <c r="N16" s="43"/>
    </row>
    <row r="17" spans="2:14" x14ac:dyDescent="0.25">
      <c r="B17" s="99">
        <v>3</v>
      </c>
      <c r="C17" s="99"/>
      <c r="D17" s="88"/>
      <c r="E17" s="88"/>
      <c r="F17" s="88"/>
      <c r="G17" s="88"/>
      <c r="H17" s="88"/>
      <c r="I17" s="88"/>
      <c r="J17" s="88">
        <v>370.4</v>
      </c>
      <c r="K17" s="88" t="s">
        <v>75</v>
      </c>
      <c r="L17" s="43"/>
      <c r="M17" s="43"/>
      <c r="N17" s="43"/>
    </row>
    <row r="18" spans="2:14" x14ac:dyDescent="0.25">
      <c r="B18" s="99">
        <v>4</v>
      </c>
      <c r="C18" s="99"/>
      <c r="D18" s="88"/>
      <c r="E18" s="88"/>
      <c r="F18" s="88"/>
      <c r="G18" s="88"/>
      <c r="H18" s="88"/>
      <c r="I18" s="88"/>
      <c r="J18" s="88">
        <v>468</v>
      </c>
      <c r="K18" s="88" t="s">
        <v>75</v>
      </c>
      <c r="L18" s="43"/>
      <c r="M18" s="43"/>
      <c r="N18" s="43"/>
    </row>
    <row r="19" spans="2:14" x14ac:dyDescent="0.25">
      <c r="B19" s="99">
        <v>5</v>
      </c>
      <c r="C19" s="99"/>
      <c r="D19" s="88"/>
      <c r="E19" s="88"/>
      <c r="F19" s="88"/>
      <c r="G19" s="88"/>
      <c r="H19" s="88"/>
      <c r="I19" s="88"/>
      <c r="J19" s="88">
        <v>746.2</v>
      </c>
      <c r="K19" s="88" t="s">
        <v>75</v>
      </c>
      <c r="L19" s="43"/>
      <c r="M19" s="43"/>
      <c r="N19" s="43"/>
    </row>
    <row r="20" spans="2:14" x14ac:dyDescent="0.25">
      <c r="B20" s="99">
        <v>6</v>
      </c>
      <c r="C20" s="99"/>
      <c r="D20" s="88"/>
      <c r="E20" s="88"/>
      <c r="F20" s="88"/>
      <c r="G20" s="88"/>
      <c r="H20" s="88"/>
      <c r="I20" s="88"/>
      <c r="J20" s="88">
        <v>314</v>
      </c>
      <c r="K20" s="88" t="s">
        <v>75</v>
      </c>
      <c r="L20" s="43"/>
      <c r="M20" s="43"/>
      <c r="N20" s="43"/>
    </row>
    <row r="21" spans="2:14" x14ac:dyDescent="0.25">
      <c r="B21" s="99">
        <v>7</v>
      </c>
      <c r="C21" s="99"/>
      <c r="D21" s="88"/>
      <c r="E21" s="88"/>
      <c r="F21" s="88"/>
      <c r="G21" s="88"/>
      <c r="H21" s="88"/>
      <c r="I21" s="88"/>
      <c r="J21" s="88">
        <v>221</v>
      </c>
      <c r="K21" s="88" t="s">
        <v>75</v>
      </c>
      <c r="L21" s="43"/>
      <c r="M21" s="43"/>
      <c r="N21" s="43"/>
    </row>
    <row r="22" spans="2:14" x14ac:dyDescent="0.25">
      <c r="B22" s="99">
        <v>8</v>
      </c>
      <c r="C22" s="99"/>
      <c r="D22" s="88"/>
      <c r="E22" s="88"/>
      <c r="F22" s="88"/>
      <c r="G22" s="88"/>
      <c r="H22" s="88"/>
      <c r="I22" s="88"/>
      <c r="J22" s="88">
        <v>297.83999999999997</v>
      </c>
      <c r="K22" s="88" t="s">
        <v>75</v>
      </c>
      <c r="L22" s="43"/>
      <c r="M22" s="43"/>
      <c r="N22" s="43"/>
    </row>
    <row r="23" spans="2:14" x14ac:dyDescent="0.25">
      <c r="B23" s="99">
        <v>9</v>
      </c>
      <c r="C23" s="99"/>
      <c r="D23" s="88"/>
      <c r="E23" s="88"/>
      <c r="F23" s="88"/>
      <c r="G23" s="88"/>
      <c r="H23" s="88"/>
      <c r="I23" s="88"/>
      <c r="J23" s="88">
        <v>316</v>
      </c>
      <c r="K23" s="88" t="s">
        <v>75</v>
      </c>
      <c r="L23" s="43"/>
      <c r="M23" s="43"/>
      <c r="N23" s="43"/>
    </row>
    <row r="24" spans="2:14" x14ac:dyDescent="0.25">
      <c r="B24" s="99">
        <v>10</v>
      </c>
      <c r="C24" s="99"/>
      <c r="D24" s="88"/>
      <c r="E24" s="88">
        <v>142.35499999999999</v>
      </c>
      <c r="F24" s="88"/>
      <c r="G24" s="88"/>
      <c r="H24" s="88"/>
      <c r="I24" s="88"/>
      <c r="J24" s="88">
        <f>I24</f>
        <v>0</v>
      </c>
      <c r="K24" s="88"/>
      <c r="L24" s="43"/>
      <c r="M24" s="43"/>
      <c r="N24" s="43"/>
    </row>
    <row r="25" spans="2:14" x14ac:dyDescent="0.25">
      <c r="B25" s="100"/>
      <c r="C25" s="101">
        <v>45834</v>
      </c>
      <c r="D25" s="88">
        <v>27</v>
      </c>
      <c r="E25" s="88"/>
      <c r="F25" s="88"/>
      <c r="G25" s="88"/>
      <c r="H25" s="88"/>
      <c r="I25" s="88"/>
      <c r="J25" s="88"/>
      <c r="K25" s="88"/>
      <c r="L25" s="43"/>
      <c r="M25" s="43"/>
      <c r="N25" s="43"/>
    </row>
    <row r="26" spans="2:14" x14ac:dyDescent="0.25">
      <c r="B26" s="100"/>
      <c r="C26" s="101">
        <v>45834</v>
      </c>
      <c r="D26" s="88">
        <v>26.245000000000001</v>
      </c>
      <c r="E26" s="88"/>
      <c r="F26" s="88"/>
      <c r="G26" s="88"/>
      <c r="H26" s="88"/>
      <c r="I26" s="88"/>
      <c r="J26" s="88"/>
      <c r="K26" s="88"/>
      <c r="L26" s="43"/>
      <c r="M26" s="43"/>
      <c r="N26" s="43"/>
    </row>
    <row r="27" spans="2:14" x14ac:dyDescent="0.25">
      <c r="B27" s="100"/>
      <c r="C27" s="101">
        <v>45834</v>
      </c>
      <c r="D27" s="88">
        <v>27.4</v>
      </c>
      <c r="E27" s="88"/>
      <c r="F27" s="88"/>
      <c r="G27" s="88"/>
      <c r="H27" s="88"/>
      <c r="I27" s="88"/>
      <c r="J27" s="88"/>
      <c r="K27" s="88"/>
      <c r="L27" s="43"/>
      <c r="M27" s="43"/>
      <c r="N27" s="43"/>
    </row>
    <row r="28" spans="2:14" x14ac:dyDescent="0.25">
      <c r="B28" s="100"/>
      <c r="C28" s="101">
        <v>45834</v>
      </c>
      <c r="D28" s="88">
        <v>27.92</v>
      </c>
      <c r="E28" s="88"/>
      <c r="F28" s="88"/>
      <c r="G28" s="88"/>
      <c r="H28" s="88"/>
      <c r="I28" s="88"/>
      <c r="J28" s="88"/>
      <c r="K28" s="88"/>
      <c r="L28" s="43"/>
      <c r="M28" s="43"/>
      <c r="N28" s="43"/>
    </row>
    <row r="29" spans="2:14" x14ac:dyDescent="0.25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43"/>
      <c r="M29" s="43"/>
      <c r="N29" s="43"/>
    </row>
    <row r="30" spans="2:14" x14ac:dyDescent="0.25">
      <c r="B30" s="100"/>
      <c r="C30" s="100"/>
      <c r="D30" s="88"/>
      <c r="E30" s="88"/>
      <c r="F30" s="88"/>
      <c r="G30" s="88"/>
      <c r="H30" s="88"/>
      <c r="I30" s="88"/>
      <c r="J30" s="88"/>
      <c r="K30" s="88"/>
      <c r="L30" s="43"/>
      <c r="M30" s="43"/>
      <c r="N30" s="43"/>
    </row>
    <row r="31" spans="2:14" x14ac:dyDescent="0.25">
      <c r="B31" s="100"/>
      <c r="C31" s="100"/>
      <c r="D31" s="88"/>
      <c r="E31" s="88"/>
      <c r="F31" s="88"/>
      <c r="G31" s="88"/>
      <c r="H31" s="88"/>
      <c r="I31" s="88"/>
      <c r="J31" s="88"/>
      <c r="K31" s="88"/>
      <c r="L31" s="43"/>
      <c r="M31" s="43"/>
      <c r="N31" s="43"/>
    </row>
    <row r="32" spans="2:14" x14ac:dyDescent="0.25">
      <c r="B32" s="100"/>
      <c r="C32" s="100"/>
      <c r="D32" s="88"/>
      <c r="E32" s="88"/>
      <c r="F32" s="88"/>
      <c r="G32" s="88"/>
      <c r="H32" s="88"/>
      <c r="I32" s="88"/>
      <c r="J32" s="88"/>
      <c r="K32" s="88"/>
      <c r="L32" s="43"/>
      <c r="M32" s="43"/>
      <c r="N32" s="43"/>
    </row>
    <row r="33" spans="2:21" x14ac:dyDescent="0.25">
      <c r="B33" s="88"/>
      <c r="C33" s="88" t="s">
        <v>98</v>
      </c>
      <c r="D33" s="88">
        <f>SUM(D25:D32)</f>
        <v>108.56500000000001</v>
      </c>
      <c r="E33" s="88">
        <f>SUM(E24:E32)</f>
        <v>142.35499999999999</v>
      </c>
      <c r="F33" s="88"/>
      <c r="G33" s="88">
        <f>SUM(G24:G32)</f>
        <v>0</v>
      </c>
      <c r="H33" s="88"/>
      <c r="I33" s="88"/>
      <c r="J33" s="88">
        <f>SUM(J15:J32)</f>
        <v>3479.3450000000003</v>
      </c>
      <c r="K33" s="88"/>
      <c r="L33" s="43"/>
      <c r="M33" s="43"/>
      <c r="N33" s="43"/>
    </row>
    <row r="34" spans="2:21" x14ac:dyDescent="0.25">
      <c r="B34" s="84"/>
      <c r="C34" s="84"/>
      <c r="D34" s="95"/>
      <c r="E34" s="95"/>
      <c r="F34" s="95"/>
      <c r="G34" s="95"/>
      <c r="H34" s="95" t="s">
        <v>64</v>
      </c>
      <c r="I34" s="95"/>
      <c r="J34" s="84">
        <f>J33+D33+E33-G33</f>
        <v>3730.2650000000003</v>
      </c>
      <c r="K34" s="84"/>
      <c r="L34" s="43"/>
      <c r="M34" s="43"/>
      <c r="N34" s="43"/>
    </row>
    <row r="35" spans="2:21" x14ac:dyDescent="0.25">
      <c r="B35" s="84"/>
      <c r="C35" s="84"/>
      <c r="D35" s="95"/>
      <c r="E35" s="95"/>
      <c r="F35" s="95"/>
      <c r="G35" s="95"/>
      <c r="H35" s="95"/>
      <c r="I35" s="95"/>
      <c r="J35" s="84"/>
      <c r="K35" s="84"/>
      <c r="L35" s="43"/>
      <c r="M35" s="43"/>
      <c r="N35" s="43"/>
    </row>
    <row r="36" spans="2:21" x14ac:dyDescent="0.25">
      <c r="K36" s="5"/>
      <c r="L36" s="43"/>
      <c r="M36" s="43"/>
      <c r="N36" s="43"/>
    </row>
    <row r="37" spans="2:21" x14ac:dyDescent="0.25">
      <c r="K37" s="5"/>
      <c r="L37" s="43"/>
      <c r="M37" s="43"/>
      <c r="N37" s="43"/>
    </row>
    <row r="38" spans="2:21" x14ac:dyDescent="0.25">
      <c r="B38" s="263" t="s">
        <v>56</v>
      </c>
      <c r="C38" s="263"/>
      <c r="D38" s="263"/>
      <c r="E38" s="263"/>
      <c r="F38" s="263"/>
      <c r="G38" s="263"/>
      <c r="H38" s="263"/>
      <c r="I38" s="79"/>
      <c r="J38" s="79"/>
      <c r="K38" s="84"/>
      <c r="L38" s="84"/>
      <c r="M38" s="43"/>
      <c r="N38" s="43"/>
    </row>
    <row r="39" spans="2:21" x14ac:dyDescent="0.25">
      <c r="B39" s="263" t="s">
        <v>60</v>
      </c>
      <c r="C39" s="263"/>
      <c r="D39" s="263"/>
      <c r="E39" s="263"/>
      <c r="F39" s="263"/>
      <c r="G39" s="263"/>
      <c r="H39" s="263"/>
      <c r="I39" s="79"/>
      <c r="J39" s="79"/>
      <c r="K39" s="84"/>
      <c r="L39" s="84"/>
      <c r="M39" s="43"/>
      <c r="N39" s="43"/>
    </row>
    <row r="40" spans="2:21" x14ac:dyDescent="0.25">
      <c r="B40" s="85" t="s">
        <v>89</v>
      </c>
      <c r="C40" s="86"/>
      <c r="D40" s="86"/>
      <c r="E40" s="86" t="s">
        <v>63</v>
      </c>
      <c r="F40" s="86" t="s">
        <v>57</v>
      </c>
      <c r="G40" s="85" t="s">
        <v>58</v>
      </c>
      <c r="H40" s="85" t="s">
        <v>59</v>
      </c>
      <c r="I40" s="87" t="s">
        <v>64</v>
      </c>
      <c r="J40" s="85" t="s">
        <v>63</v>
      </c>
      <c r="K40" s="85" t="s">
        <v>90</v>
      </c>
      <c r="L40" s="85" t="s">
        <v>91</v>
      </c>
      <c r="M40" s="43"/>
      <c r="N40" s="43"/>
    </row>
    <row r="41" spans="2:21" x14ac:dyDescent="0.25">
      <c r="B41" s="88" t="s">
        <v>62</v>
      </c>
      <c r="C41" s="89"/>
      <c r="D41" s="89"/>
      <c r="E41" s="90">
        <v>45817</v>
      </c>
      <c r="F41" s="89">
        <v>569.4</v>
      </c>
      <c r="G41" s="91"/>
      <c r="H41" s="88"/>
      <c r="I41" s="92">
        <f>(F41+G41)-H41</f>
        <v>569.4</v>
      </c>
      <c r="J41" s="88"/>
      <c r="K41" s="88"/>
      <c r="L41" s="88"/>
      <c r="M41" s="43"/>
      <c r="N41" s="43"/>
    </row>
    <row r="42" spans="2:21" x14ac:dyDescent="0.25">
      <c r="B42" s="88"/>
      <c r="C42" s="89"/>
      <c r="D42" s="89"/>
      <c r="E42" s="89"/>
      <c r="F42" s="89"/>
      <c r="G42" s="91"/>
      <c r="H42" s="88"/>
      <c r="I42" s="92">
        <f t="shared" ref="I42:I56" si="0">(F42+G42)-H42</f>
        <v>0</v>
      </c>
      <c r="J42" s="88"/>
      <c r="K42" s="88"/>
      <c r="L42" s="88"/>
      <c r="M42" s="43"/>
      <c r="N42" s="43"/>
    </row>
    <row r="43" spans="2:21" x14ac:dyDescent="0.25">
      <c r="B43" s="88"/>
      <c r="C43" s="89"/>
      <c r="D43" s="89"/>
      <c r="E43" s="89"/>
      <c r="F43" s="89"/>
      <c r="G43" s="91"/>
      <c r="H43" s="88"/>
      <c r="I43" s="92">
        <f t="shared" si="0"/>
        <v>0</v>
      </c>
      <c r="J43" s="88"/>
      <c r="K43" s="88"/>
      <c r="L43" s="88"/>
      <c r="M43" s="43"/>
      <c r="N43" s="43"/>
      <c r="O43" s="5"/>
      <c r="P43" s="5"/>
      <c r="Q43" s="5"/>
      <c r="R43" s="5"/>
      <c r="S43" s="5"/>
      <c r="T43" s="5"/>
      <c r="U43" s="5"/>
    </row>
    <row r="44" spans="2:21" x14ac:dyDescent="0.25">
      <c r="B44" s="88"/>
      <c r="C44" s="89"/>
      <c r="D44" s="89"/>
      <c r="E44" s="89"/>
      <c r="F44" s="89"/>
      <c r="G44" s="91"/>
      <c r="H44" s="88"/>
      <c r="I44" s="92">
        <f t="shared" si="0"/>
        <v>0</v>
      </c>
      <c r="J44" s="88"/>
      <c r="K44" s="88"/>
      <c r="L44" s="88"/>
      <c r="M44" s="43"/>
      <c r="N44" s="43"/>
      <c r="O44" s="5"/>
      <c r="P44" s="5"/>
      <c r="Q44" s="5"/>
      <c r="R44" s="5"/>
      <c r="S44" s="5"/>
    </row>
    <row r="45" spans="2:21" x14ac:dyDescent="0.25">
      <c r="B45" s="88"/>
      <c r="C45" s="89"/>
      <c r="D45" s="89"/>
      <c r="E45" s="89"/>
      <c r="F45" s="89"/>
      <c r="G45" s="91"/>
      <c r="H45" s="88"/>
      <c r="I45" s="92">
        <f t="shared" si="0"/>
        <v>0</v>
      </c>
      <c r="J45" s="88"/>
      <c r="K45" s="88"/>
      <c r="L45" s="88"/>
      <c r="M45" s="43"/>
      <c r="N45" s="43"/>
      <c r="O45" s="5"/>
      <c r="P45" s="5"/>
      <c r="Q45" s="5"/>
      <c r="R45" s="5"/>
      <c r="S45" s="5"/>
      <c r="T45" s="5"/>
      <c r="U45" s="5"/>
    </row>
    <row r="46" spans="2:21" x14ac:dyDescent="0.25">
      <c r="B46" s="93"/>
      <c r="C46" s="90"/>
      <c r="D46" s="90"/>
      <c r="E46" s="90"/>
      <c r="F46" s="89"/>
      <c r="G46" s="91"/>
      <c r="H46" s="88"/>
      <c r="I46" s="92">
        <f t="shared" si="0"/>
        <v>0</v>
      </c>
      <c r="J46" s="88"/>
      <c r="K46" s="88"/>
      <c r="L46" s="88"/>
      <c r="M46" s="5"/>
      <c r="N46" s="5"/>
      <c r="O46" s="5"/>
      <c r="P46" s="5"/>
      <c r="Q46" s="5"/>
      <c r="R46" s="5"/>
      <c r="S46" s="5"/>
      <c r="T46" s="5"/>
      <c r="U46" s="5"/>
    </row>
    <row r="47" spans="2:21" x14ac:dyDescent="0.25">
      <c r="B47" s="93"/>
      <c r="C47" s="90"/>
      <c r="D47" s="90"/>
      <c r="E47" s="90"/>
      <c r="F47" s="89"/>
      <c r="G47" s="91"/>
      <c r="H47" s="88"/>
      <c r="I47" s="92">
        <f t="shared" si="0"/>
        <v>0</v>
      </c>
      <c r="J47" s="88"/>
      <c r="K47" s="88"/>
      <c r="L47" s="88"/>
    </row>
    <row r="48" spans="2:21" x14ac:dyDescent="0.25">
      <c r="B48" s="93"/>
      <c r="C48" s="90"/>
      <c r="D48" s="90"/>
      <c r="E48" s="90"/>
      <c r="F48" s="89"/>
      <c r="G48" s="91"/>
      <c r="H48" s="88"/>
      <c r="I48" s="92">
        <f t="shared" si="0"/>
        <v>0</v>
      </c>
      <c r="J48" s="88"/>
      <c r="K48" s="88"/>
      <c r="L48" s="88"/>
    </row>
    <row r="49" spans="1:12" x14ac:dyDescent="0.25">
      <c r="B49" s="93"/>
      <c r="C49" s="90"/>
      <c r="D49" s="90"/>
      <c r="E49" s="90"/>
      <c r="F49" s="89"/>
      <c r="G49" s="91"/>
      <c r="H49" s="88"/>
      <c r="I49" s="92">
        <f t="shared" si="0"/>
        <v>0</v>
      </c>
      <c r="J49" s="88"/>
      <c r="K49" s="88"/>
      <c r="L49" s="88"/>
    </row>
    <row r="50" spans="1:12" x14ac:dyDescent="0.25">
      <c r="B50" s="93"/>
      <c r="C50" s="90"/>
      <c r="D50" s="90"/>
      <c r="E50" s="90"/>
      <c r="F50" s="89"/>
      <c r="G50" s="91"/>
      <c r="H50" s="88"/>
      <c r="I50" s="92">
        <f t="shared" si="0"/>
        <v>0</v>
      </c>
      <c r="J50" s="88"/>
      <c r="K50" s="88"/>
      <c r="L50" s="88"/>
    </row>
    <row r="51" spans="1:12" x14ac:dyDescent="0.25">
      <c r="A51" s="44"/>
      <c r="B51" s="88"/>
      <c r="C51" s="89"/>
      <c r="D51" s="89"/>
      <c r="E51" s="89"/>
      <c r="F51" s="89"/>
      <c r="G51" s="91"/>
      <c r="H51" s="88"/>
      <c r="I51" s="92">
        <f t="shared" si="0"/>
        <v>0</v>
      </c>
      <c r="J51" s="88"/>
      <c r="K51" s="88"/>
      <c r="L51" s="88"/>
    </row>
    <row r="52" spans="1:12" x14ac:dyDescent="0.25">
      <c r="B52" s="88"/>
      <c r="C52" s="89"/>
      <c r="D52" s="89"/>
      <c r="E52" s="89"/>
      <c r="F52" s="89"/>
      <c r="G52" s="91"/>
      <c r="H52" s="88"/>
      <c r="I52" s="92">
        <f t="shared" si="0"/>
        <v>0</v>
      </c>
      <c r="J52" s="88"/>
      <c r="K52" s="88"/>
      <c r="L52" s="88"/>
    </row>
    <row r="53" spans="1:12" x14ac:dyDescent="0.25">
      <c r="B53" s="88"/>
      <c r="C53" s="89"/>
      <c r="D53" s="89"/>
      <c r="E53" s="89"/>
      <c r="F53" s="89"/>
      <c r="G53" s="91"/>
      <c r="H53" s="88"/>
      <c r="I53" s="92">
        <f t="shared" si="0"/>
        <v>0</v>
      </c>
      <c r="J53" s="88"/>
      <c r="K53" s="88"/>
      <c r="L53" s="88"/>
    </row>
    <row r="54" spans="1:12" x14ac:dyDescent="0.25">
      <c r="B54" s="88"/>
      <c r="C54" s="89"/>
      <c r="D54" s="89"/>
      <c r="E54" s="89"/>
      <c r="F54" s="89"/>
      <c r="G54" s="91"/>
      <c r="H54" s="88"/>
      <c r="I54" s="92">
        <f t="shared" si="0"/>
        <v>0</v>
      </c>
      <c r="J54" s="88"/>
      <c r="K54" s="88"/>
      <c r="L54" s="88"/>
    </row>
    <row r="55" spans="1:12" x14ac:dyDescent="0.25">
      <c r="B55" s="88"/>
      <c r="C55" s="89"/>
      <c r="D55" s="89"/>
      <c r="E55" s="89"/>
      <c r="F55" s="89"/>
      <c r="G55" s="91"/>
      <c r="H55" s="88"/>
      <c r="I55" s="92">
        <f t="shared" si="0"/>
        <v>0</v>
      </c>
      <c r="J55" s="88"/>
      <c r="K55" s="88"/>
      <c r="L55" s="88"/>
    </row>
    <row r="56" spans="1:12" ht="15.75" thickBot="1" x14ac:dyDescent="0.3">
      <c r="B56" s="88"/>
      <c r="C56" s="89"/>
      <c r="D56" s="89"/>
      <c r="E56" s="89"/>
      <c r="F56" s="89"/>
      <c r="G56" s="91">
        <f>SUM(G41:G55)</f>
        <v>0</v>
      </c>
      <c r="H56" s="94">
        <f>SUM(H41:H55)</f>
        <v>0</v>
      </c>
      <c r="I56" s="92">
        <f t="shared" si="0"/>
        <v>0</v>
      </c>
      <c r="J56" s="88"/>
      <c r="K56" s="88"/>
      <c r="L56" s="88"/>
    </row>
    <row r="57" spans="1:12" ht="15.75" thickBot="1" x14ac:dyDescent="0.3">
      <c r="B57" s="95"/>
      <c r="C57" s="95"/>
      <c r="D57" s="95"/>
      <c r="E57" s="95"/>
      <c r="F57" s="264" t="s">
        <v>64</v>
      </c>
      <c r="G57" s="264"/>
      <c r="H57" s="96"/>
      <c r="I57" s="96">
        <f>SUM(I41:I56)+K57+L57</f>
        <v>569.4</v>
      </c>
      <c r="J57" s="95"/>
      <c r="K57" s="88">
        <f>SUM(K41:K56)</f>
        <v>0</v>
      </c>
      <c r="L57" s="88">
        <f>SUM(L41:L56)</f>
        <v>0</v>
      </c>
    </row>
    <row r="59" spans="1:12" x14ac:dyDescent="0.25">
      <c r="B59" s="263" t="s">
        <v>56</v>
      </c>
      <c r="C59" s="263"/>
      <c r="D59" s="263"/>
      <c r="E59" s="263"/>
      <c r="F59" s="263"/>
      <c r="G59" s="263"/>
      <c r="H59" s="263"/>
      <c r="I59" s="79"/>
      <c r="J59" s="95"/>
      <c r="K59" s="95"/>
      <c r="L59" s="95"/>
    </row>
    <row r="60" spans="1:12" x14ac:dyDescent="0.25">
      <c r="B60" s="263" t="s">
        <v>66</v>
      </c>
      <c r="C60" s="263"/>
      <c r="D60" s="263"/>
      <c r="E60" s="263"/>
      <c r="F60" s="263"/>
      <c r="G60" s="263"/>
      <c r="H60" s="263"/>
      <c r="I60" s="79"/>
      <c r="J60" s="95"/>
      <c r="K60" s="95"/>
      <c r="L60" s="95"/>
    </row>
    <row r="61" spans="1:12" x14ac:dyDescent="0.25">
      <c r="B61" s="85" t="s">
        <v>61</v>
      </c>
      <c r="C61" s="86"/>
      <c r="D61" s="86"/>
      <c r="E61" s="86"/>
      <c r="F61" s="86" t="s">
        <v>57</v>
      </c>
      <c r="G61" s="85" t="s">
        <v>58</v>
      </c>
      <c r="H61" s="85" t="s">
        <v>59</v>
      </c>
      <c r="I61" s="85" t="s">
        <v>92</v>
      </c>
      <c r="J61" s="85" t="s">
        <v>63</v>
      </c>
      <c r="K61" s="85" t="s">
        <v>90</v>
      </c>
      <c r="L61" s="85" t="s">
        <v>91</v>
      </c>
    </row>
    <row r="62" spans="1:12" x14ac:dyDescent="0.25">
      <c r="B62" s="88">
        <v>1</v>
      </c>
      <c r="C62" s="89"/>
      <c r="D62" s="89"/>
      <c r="E62" s="89"/>
      <c r="F62" s="89">
        <v>459.2</v>
      </c>
      <c r="G62" s="88"/>
      <c r="H62" s="88"/>
      <c r="I62" s="260">
        <f>(F62+G62)-H62</f>
        <v>459.2</v>
      </c>
      <c r="J62" s="93">
        <v>45817</v>
      </c>
      <c r="K62" s="88">
        <v>17.2</v>
      </c>
      <c r="L62" s="88"/>
    </row>
    <row r="63" spans="1:12" x14ac:dyDescent="0.25">
      <c r="B63" s="88"/>
      <c r="C63" s="89"/>
      <c r="D63" s="89"/>
      <c r="E63" s="89"/>
      <c r="F63" s="89"/>
      <c r="G63" s="88"/>
      <c r="H63" s="88"/>
      <c r="I63" s="261"/>
      <c r="J63" s="93">
        <v>45818</v>
      </c>
      <c r="K63" s="88">
        <v>18.8</v>
      </c>
      <c r="L63" s="88"/>
    </row>
    <row r="64" spans="1:12" x14ac:dyDescent="0.25">
      <c r="B64" s="88"/>
      <c r="C64" s="89"/>
      <c r="D64" s="89"/>
      <c r="E64" s="89"/>
      <c r="F64" s="89"/>
      <c r="G64" s="88"/>
      <c r="H64" s="88"/>
      <c r="I64" s="261"/>
      <c r="J64" s="93">
        <v>45819</v>
      </c>
      <c r="K64" s="88">
        <v>17.600000000000001</v>
      </c>
      <c r="L64" s="88"/>
    </row>
    <row r="65" spans="2:13" x14ac:dyDescent="0.25">
      <c r="B65" s="88"/>
      <c r="C65" s="89"/>
      <c r="D65" s="89"/>
      <c r="E65" s="89"/>
      <c r="F65" s="89"/>
      <c r="G65" s="88"/>
      <c r="H65" s="88"/>
      <c r="I65" s="261"/>
      <c r="J65" s="88"/>
      <c r="K65" s="88"/>
      <c r="L65" s="88"/>
    </row>
    <row r="66" spans="2:13" x14ac:dyDescent="0.25">
      <c r="B66" s="88"/>
      <c r="C66" s="89"/>
      <c r="D66" s="89"/>
      <c r="E66" s="89"/>
      <c r="F66" s="89"/>
      <c r="G66" s="88"/>
      <c r="H66" s="88"/>
      <c r="I66" s="261"/>
      <c r="J66" s="88"/>
      <c r="K66" s="88"/>
      <c r="L66" s="88"/>
    </row>
    <row r="67" spans="2:13" x14ac:dyDescent="0.25">
      <c r="B67" s="88"/>
      <c r="C67" s="89"/>
      <c r="D67" s="89"/>
      <c r="E67" s="89"/>
      <c r="F67" s="89"/>
      <c r="G67" s="88"/>
      <c r="H67" s="88"/>
      <c r="I67" s="261"/>
      <c r="J67" s="88"/>
      <c r="K67" s="88"/>
      <c r="L67" s="88"/>
    </row>
    <row r="68" spans="2:13" x14ac:dyDescent="0.25">
      <c r="B68" s="88"/>
      <c r="C68" s="89"/>
      <c r="D68" s="89"/>
      <c r="E68" s="89"/>
      <c r="F68" s="89"/>
      <c r="G68" s="88"/>
      <c r="H68" s="88"/>
      <c r="I68" s="261"/>
      <c r="J68" s="88"/>
      <c r="K68" s="88"/>
      <c r="L68" s="88"/>
    </row>
    <row r="69" spans="2:13" x14ac:dyDescent="0.25">
      <c r="B69" s="88"/>
      <c r="C69" s="89"/>
      <c r="D69" s="89"/>
      <c r="E69" s="89"/>
      <c r="F69" s="89"/>
      <c r="G69" s="88"/>
      <c r="H69" s="88"/>
      <c r="I69" s="261"/>
      <c r="J69" s="88"/>
      <c r="K69" s="88"/>
      <c r="L69" s="88"/>
    </row>
    <row r="70" spans="2:13" x14ac:dyDescent="0.25">
      <c r="B70" s="88"/>
      <c r="C70" s="89"/>
      <c r="D70" s="89"/>
      <c r="E70" s="89"/>
      <c r="F70" s="89"/>
      <c r="G70" s="88"/>
      <c r="H70" s="88"/>
      <c r="I70" s="261"/>
      <c r="J70" s="88"/>
      <c r="K70" s="88"/>
      <c r="L70" s="88"/>
    </row>
    <row r="71" spans="2:13" x14ac:dyDescent="0.25">
      <c r="B71" s="88"/>
      <c r="C71" s="89"/>
      <c r="D71" s="89"/>
      <c r="E71" s="89"/>
      <c r="F71" s="89"/>
      <c r="G71" s="88"/>
      <c r="H71" s="88"/>
      <c r="I71" s="261"/>
      <c r="J71" s="88"/>
      <c r="K71" s="88"/>
      <c r="L71" s="88"/>
      <c r="M71" s="72"/>
    </row>
    <row r="72" spans="2:13" x14ac:dyDescent="0.25">
      <c r="B72" s="88"/>
      <c r="C72" s="89"/>
      <c r="D72" s="89"/>
      <c r="E72" s="89"/>
      <c r="F72" s="89"/>
      <c r="G72" s="88"/>
      <c r="H72" s="88"/>
      <c r="I72" s="261"/>
      <c r="J72" s="88"/>
      <c r="K72" s="88"/>
      <c r="L72" s="88"/>
    </row>
    <row r="73" spans="2:13" x14ac:dyDescent="0.25">
      <c r="B73" s="88"/>
      <c r="C73" s="89"/>
      <c r="D73" s="89"/>
      <c r="E73" s="89"/>
      <c r="F73" s="89"/>
      <c r="G73" s="88"/>
      <c r="H73" s="88"/>
      <c r="I73" s="261"/>
      <c r="J73" s="88"/>
      <c r="K73" s="88"/>
      <c r="L73" s="88"/>
    </row>
    <row r="74" spans="2:13" x14ac:dyDescent="0.25">
      <c r="B74" s="88"/>
      <c r="C74" s="89"/>
      <c r="D74" s="89"/>
      <c r="E74" s="89"/>
      <c r="F74" s="89"/>
      <c r="G74" s="88"/>
      <c r="H74" s="88"/>
      <c r="I74" s="261"/>
      <c r="J74" s="88"/>
      <c r="K74" s="88"/>
      <c r="L74" s="88"/>
    </row>
    <row r="75" spans="2:13" x14ac:dyDescent="0.25">
      <c r="B75" s="88"/>
      <c r="C75" s="89"/>
      <c r="D75" s="89"/>
      <c r="E75" s="89"/>
      <c r="F75" s="89"/>
      <c r="G75" s="88"/>
      <c r="H75" s="88"/>
      <c r="I75" s="261"/>
      <c r="J75" s="88"/>
      <c r="K75" s="88"/>
      <c r="L75" s="88"/>
    </row>
    <row r="76" spans="2:13" x14ac:dyDescent="0.25">
      <c r="B76" s="88"/>
      <c r="C76" s="89"/>
      <c r="D76" s="89"/>
      <c r="E76" s="89"/>
      <c r="F76" s="89"/>
      <c r="G76" s="88"/>
      <c r="H76" s="88"/>
      <c r="I76" s="261"/>
      <c r="J76" s="88"/>
      <c r="K76" s="88"/>
      <c r="L76" s="88"/>
    </row>
    <row r="77" spans="2:13" ht="15.75" thickBot="1" x14ac:dyDescent="0.3">
      <c r="B77" s="88"/>
      <c r="C77" s="89"/>
      <c r="D77" s="89"/>
      <c r="E77" s="89"/>
      <c r="F77" s="89"/>
      <c r="G77" s="88">
        <f>SUM(G62:G76)</f>
        <v>0</v>
      </c>
      <c r="H77" s="94">
        <f>SUM(H62:H76)</f>
        <v>0</v>
      </c>
      <c r="I77" s="262"/>
      <c r="J77" s="88"/>
      <c r="K77" s="88"/>
      <c r="L77" s="88"/>
    </row>
    <row r="78" spans="2:13" ht="15.75" thickBot="1" x14ac:dyDescent="0.3">
      <c r="B78" s="95"/>
      <c r="C78" s="95"/>
      <c r="D78" s="95"/>
      <c r="E78" s="95"/>
      <c r="F78" s="95"/>
      <c r="G78" s="95"/>
      <c r="H78" s="97" t="s">
        <v>93</v>
      </c>
      <c r="I78" s="98">
        <f>I62+G77-H77</f>
        <v>459.2</v>
      </c>
      <c r="J78" s="95"/>
      <c r="K78" s="88">
        <f>SUM(K62:K77)</f>
        <v>53.6</v>
      </c>
      <c r="L78" s="88">
        <f>SUM(L62:L77)</f>
        <v>0</v>
      </c>
    </row>
    <row r="79" spans="2:13" ht="15.75" thickBot="1" x14ac:dyDescent="0.3">
      <c r="B79" s="95"/>
      <c r="C79" s="95"/>
      <c r="D79" s="95"/>
      <c r="E79" s="95"/>
      <c r="F79" s="95"/>
      <c r="G79" s="95"/>
      <c r="H79" s="95" t="s">
        <v>94</v>
      </c>
      <c r="I79" s="98">
        <f>I78+K78+L78</f>
        <v>512.79999999999995</v>
      </c>
      <c r="J79" s="95"/>
      <c r="K79" s="95"/>
      <c r="L79" s="95"/>
    </row>
    <row r="83" spans="2:12" x14ac:dyDescent="0.25">
      <c r="B83" s="263" t="s">
        <v>56</v>
      </c>
      <c r="C83" s="263"/>
      <c r="D83" s="263"/>
      <c r="E83" s="263"/>
      <c r="F83" s="263"/>
      <c r="G83" s="263"/>
      <c r="H83" s="263"/>
      <c r="I83" s="79"/>
      <c r="J83" s="95"/>
      <c r="K83" s="95"/>
      <c r="L83" s="95"/>
    </row>
    <row r="84" spans="2:12" x14ac:dyDescent="0.25">
      <c r="B84" s="263" t="s">
        <v>47</v>
      </c>
      <c r="C84" s="263"/>
      <c r="D84" s="263"/>
      <c r="E84" s="263"/>
      <c r="F84" s="263"/>
      <c r="G84" s="263"/>
      <c r="H84" s="263"/>
      <c r="I84" s="79"/>
      <c r="J84" s="95"/>
      <c r="K84" s="95"/>
      <c r="L84" s="95"/>
    </row>
    <row r="85" spans="2:12" x14ac:dyDescent="0.25">
      <c r="B85" s="85" t="s">
        <v>61</v>
      </c>
      <c r="C85" s="86"/>
      <c r="D85" s="86"/>
      <c r="E85" s="86"/>
      <c r="F85" s="86" t="s">
        <v>57</v>
      </c>
      <c r="G85" s="85" t="s">
        <v>58</v>
      </c>
      <c r="H85" s="85" t="s">
        <v>59</v>
      </c>
      <c r="I85" s="85" t="s">
        <v>92</v>
      </c>
      <c r="J85" s="85" t="s">
        <v>63</v>
      </c>
      <c r="K85" s="85" t="s">
        <v>90</v>
      </c>
      <c r="L85" s="85" t="s">
        <v>91</v>
      </c>
    </row>
    <row r="86" spans="2:12" x14ac:dyDescent="0.25">
      <c r="B86" s="88">
        <v>1</v>
      </c>
      <c r="C86" s="89"/>
      <c r="D86" s="89"/>
      <c r="E86" s="89"/>
      <c r="F86" s="89">
        <v>606.6</v>
      </c>
      <c r="G86" s="88"/>
      <c r="H86" s="88"/>
      <c r="I86" s="260">
        <f>(F86+G86)-H86</f>
        <v>606.6</v>
      </c>
      <c r="J86" s="93"/>
      <c r="K86" s="88"/>
      <c r="L86" s="88"/>
    </row>
    <row r="87" spans="2:12" x14ac:dyDescent="0.25">
      <c r="B87" s="88"/>
      <c r="C87" s="89"/>
      <c r="D87" s="89"/>
      <c r="E87" s="89"/>
      <c r="F87" s="89"/>
      <c r="G87" s="88"/>
      <c r="H87" s="88"/>
      <c r="I87" s="261"/>
      <c r="J87" s="93"/>
      <c r="K87" s="88"/>
      <c r="L87" s="88"/>
    </row>
    <row r="88" spans="2:12" x14ac:dyDescent="0.25">
      <c r="B88" s="88"/>
      <c r="C88" s="89"/>
      <c r="D88" s="89"/>
      <c r="E88" s="89"/>
      <c r="F88" s="89"/>
      <c r="G88" s="88"/>
      <c r="H88" s="88"/>
      <c r="I88" s="261"/>
      <c r="J88" s="93"/>
      <c r="K88" s="88"/>
      <c r="L88" s="88"/>
    </row>
    <row r="89" spans="2:12" x14ac:dyDescent="0.25">
      <c r="B89" s="88"/>
      <c r="C89" s="89"/>
      <c r="D89" s="89"/>
      <c r="E89" s="89"/>
      <c r="F89" s="89"/>
      <c r="G89" s="88"/>
      <c r="H89" s="88"/>
      <c r="I89" s="261"/>
      <c r="J89" s="88"/>
      <c r="K89" s="88"/>
      <c r="L89" s="88"/>
    </row>
    <row r="90" spans="2:12" x14ac:dyDescent="0.25">
      <c r="B90" s="88"/>
      <c r="C90" s="89"/>
      <c r="D90" s="89"/>
      <c r="E90" s="89"/>
      <c r="F90" s="89"/>
      <c r="G90" s="88"/>
      <c r="H90" s="88"/>
      <c r="I90" s="261"/>
      <c r="J90" s="88"/>
      <c r="K90" s="88"/>
      <c r="L90" s="88"/>
    </row>
    <row r="91" spans="2:12" x14ac:dyDescent="0.25">
      <c r="B91" s="88"/>
      <c r="C91" s="89"/>
      <c r="D91" s="89"/>
      <c r="E91" s="89"/>
      <c r="F91" s="89"/>
      <c r="G91" s="88"/>
      <c r="H91" s="88"/>
      <c r="I91" s="261"/>
      <c r="J91" s="88"/>
      <c r="K91" s="88"/>
      <c r="L91" s="88"/>
    </row>
    <row r="92" spans="2:12" x14ac:dyDescent="0.25">
      <c r="B92" s="88"/>
      <c r="C92" s="89"/>
      <c r="D92" s="89"/>
      <c r="E92" s="89"/>
      <c r="F92" s="89"/>
      <c r="G92" s="88"/>
      <c r="H92" s="88"/>
      <c r="I92" s="261"/>
      <c r="J92" s="88"/>
      <c r="K92" s="88"/>
      <c r="L92" s="88"/>
    </row>
    <row r="93" spans="2:12" x14ac:dyDescent="0.25">
      <c r="B93" s="88"/>
      <c r="C93" s="89"/>
      <c r="D93" s="89"/>
      <c r="E93" s="89"/>
      <c r="F93" s="89"/>
      <c r="G93" s="88"/>
      <c r="H93" s="88"/>
      <c r="I93" s="261"/>
      <c r="J93" s="88"/>
      <c r="K93" s="88"/>
      <c r="L93" s="88"/>
    </row>
    <row r="94" spans="2:12" x14ac:dyDescent="0.25">
      <c r="B94" s="88"/>
      <c r="C94" s="89"/>
      <c r="D94" s="89"/>
      <c r="E94" s="89"/>
      <c r="F94" s="89"/>
      <c r="G94" s="88"/>
      <c r="H94" s="88"/>
      <c r="I94" s="261"/>
      <c r="J94" s="88"/>
      <c r="K94" s="88"/>
      <c r="L94" s="88"/>
    </row>
    <row r="95" spans="2:12" x14ac:dyDescent="0.25">
      <c r="B95" s="88"/>
      <c r="C95" s="89"/>
      <c r="D95" s="89"/>
      <c r="E95" s="89"/>
      <c r="F95" s="89"/>
      <c r="G95" s="88"/>
      <c r="H95" s="88"/>
      <c r="I95" s="261"/>
      <c r="J95" s="88"/>
      <c r="K95" s="88"/>
      <c r="L95" s="88"/>
    </row>
    <row r="96" spans="2:12" x14ac:dyDescent="0.25">
      <c r="B96" s="88"/>
      <c r="C96" s="89"/>
      <c r="D96" s="89"/>
      <c r="E96" s="89"/>
      <c r="F96" s="89"/>
      <c r="G96" s="88"/>
      <c r="H96" s="88"/>
      <c r="I96" s="261"/>
      <c r="J96" s="88"/>
      <c r="K96" s="88"/>
      <c r="L96" s="88"/>
    </row>
    <row r="97" spans="2:12" x14ac:dyDescent="0.25">
      <c r="B97" s="88"/>
      <c r="C97" s="89"/>
      <c r="D97" s="89"/>
      <c r="E97" s="89"/>
      <c r="F97" s="89"/>
      <c r="G97" s="88"/>
      <c r="H97" s="88"/>
      <c r="I97" s="261"/>
      <c r="J97" s="88"/>
      <c r="K97" s="88"/>
      <c r="L97" s="88"/>
    </row>
    <row r="98" spans="2:12" x14ac:dyDescent="0.25">
      <c r="B98" s="88"/>
      <c r="C98" s="89"/>
      <c r="D98" s="89"/>
      <c r="E98" s="89"/>
      <c r="F98" s="89"/>
      <c r="G98" s="88"/>
      <c r="H98" s="88"/>
      <c r="I98" s="261"/>
      <c r="J98" s="88"/>
      <c r="K98" s="88"/>
      <c r="L98" s="88"/>
    </row>
    <row r="99" spans="2:12" x14ac:dyDescent="0.25">
      <c r="B99" s="88"/>
      <c r="C99" s="89"/>
      <c r="D99" s="89"/>
      <c r="E99" s="89"/>
      <c r="F99" s="89"/>
      <c r="G99" s="88"/>
      <c r="H99" s="88"/>
      <c r="I99" s="261"/>
      <c r="J99" s="88"/>
      <c r="K99" s="88"/>
      <c r="L99" s="88"/>
    </row>
    <row r="100" spans="2:12" x14ac:dyDescent="0.25">
      <c r="B100" s="88"/>
      <c r="C100" s="89"/>
      <c r="D100" s="89"/>
      <c r="E100" s="89"/>
      <c r="F100" s="89"/>
      <c r="G100" s="88"/>
      <c r="H100" s="88"/>
      <c r="I100" s="261"/>
      <c r="J100" s="88"/>
      <c r="K100" s="88"/>
      <c r="L100" s="88"/>
    </row>
    <row r="101" spans="2:12" ht="15.75" thickBot="1" x14ac:dyDescent="0.3">
      <c r="B101" s="88"/>
      <c r="C101" s="89"/>
      <c r="D101" s="89"/>
      <c r="E101" s="89"/>
      <c r="F101" s="89"/>
      <c r="G101" s="88">
        <f>SUM(G86:G100)</f>
        <v>0</v>
      </c>
      <c r="H101" s="94">
        <f>SUM(H86:H100)</f>
        <v>0</v>
      </c>
      <c r="I101" s="262"/>
      <c r="J101" s="88"/>
      <c r="K101" s="88"/>
      <c r="L101" s="88"/>
    </row>
    <row r="102" spans="2:12" ht="15.75" thickBot="1" x14ac:dyDescent="0.3">
      <c r="B102" s="95"/>
      <c r="C102" s="95"/>
      <c r="D102" s="95"/>
      <c r="E102" s="95"/>
      <c r="F102" s="95"/>
      <c r="G102" s="95"/>
      <c r="H102" s="97" t="s">
        <v>93</v>
      </c>
      <c r="I102" s="98">
        <f>I86+G101-H101</f>
        <v>606.6</v>
      </c>
      <c r="J102" s="95"/>
      <c r="K102" s="88">
        <f>SUM(K86:K101)</f>
        <v>0</v>
      </c>
      <c r="L102" s="88">
        <f>SUM(L86:L101)</f>
        <v>0</v>
      </c>
    </row>
    <row r="103" spans="2:12" ht="15.75" thickBot="1" x14ac:dyDescent="0.3">
      <c r="B103" s="95"/>
      <c r="C103" s="95"/>
      <c r="D103" s="95"/>
      <c r="E103" s="95"/>
      <c r="F103" s="95"/>
      <c r="G103" s="95"/>
      <c r="H103" s="95" t="s">
        <v>94</v>
      </c>
      <c r="I103" s="98">
        <f>I102+K102+L102</f>
        <v>606.6</v>
      </c>
      <c r="J103" s="95"/>
      <c r="K103" s="95"/>
      <c r="L103" s="95"/>
    </row>
    <row r="108" spans="2:12" x14ac:dyDescent="0.25">
      <c r="B108" s="263" t="s">
        <v>56</v>
      </c>
      <c r="C108" s="263"/>
      <c r="D108" s="263"/>
      <c r="E108" s="263"/>
      <c r="F108" s="263"/>
      <c r="G108" s="263"/>
      <c r="H108" s="263"/>
      <c r="I108" s="79"/>
      <c r="J108" s="95"/>
      <c r="K108" s="95"/>
      <c r="L108" s="95"/>
    </row>
    <row r="109" spans="2:12" x14ac:dyDescent="0.25">
      <c r="B109" s="263" t="s">
        <v>95</v>
      </c>
      <c r="C109" s="263"/>
      <c r="D109" s="263"/>
      <c r="E109" s="263"/>
      <c r="F109" s="263"/>
      <c r="G109" s="263"/>
      <c r="H109" s="263"/>
      <c r="I109" s="79"/>
      <c r="J109" s="95"/>
      <c r="K109" s="95"/>
      <c r="L109" s="95"/>
    </row>
    <row r="110" spans="2:12" x14ac:dyDescent="0.25">
      <c r="B110" s="85" t="s">
        <v>61</v>
      </c>
      <c r="C110" s="86"/>
      <c r="D110" s="86"/>
      <c r="E110" s="86"/>
      <c r="F110" s="86" t="s">
        <v>57</v>
      </c>
      <c r="G110" s="85" t="s">
        <v>58</v>
      </c>
      <c r="H110" s="85" t="s">
        <v>59</v>
      </c>
      <c r="I110" s="85" t="s">
        <v>92</v>
      </c>
      <c r="J110" s="85" t="s">
        <v>63</v>
      </c>
      <c r="K110" s="85" t="s">
        <v>90</v>
      </c>
      <c r="L110" s="85" t="s">
        <v>91</v>
      </c>
    </row>
    <row r="111" spans="2:12" x14ac:dyDescent="0.25">
      <c r="B111" s="88">
        <v>1</v>
      </c>
      <c r="C111" s="89"/>
      <c r="D111" s="89"/>
      <c r="E111" s="89"/>
      <c r="F111" s="89">
        <v>510.4</v>
      </c>
      <c r="G111" s="88"/>
      <c r="H111" s="88"/>
      <c r="I111" s="260">
        <f>(F111+G111)-H111</f>
        <v>510.4</v>
      </c>
      <c r="J111" s="93"/>
      <c r="K111" s="88"/>
      <c r="L111" s="88"/>
    </row>
    <row r="112" spans="2:12" x14ac:dyDescent="0.25">
      <c r="B112" s="88"/>
      <c r="C112" s="89"/>
      <c r="D112" s="89"/>
      <c r="E112" s="89"/>
      <c r="F112" s="89"/>
      <c r="G112" s="88"/>
      <c r="H112" s="88"/>
      <c r="I112" s="261"/>
      <c r="J112" s="93"/>
      <c r="K112" s="88"/>
      <c r="L112" s="88"/>
    </row>
    <row r="113" spans="2:12" x14ac:dyDescent="0.25">
      <c r="B113" s="88"/>
      <c r="C113" s="89"/>
      <c r="D113" s="89"/>
      <c r="E113" s="89"/>
      <c r="F113" s="89"/>
      <c r="G113" s="88"/>
      <c r="H113" s="88"/>
      <c r="I113" s="261"/>
      <c r="J113" s="93"/>
      <c r="K113" s="88"/>
      <c r="L113" s="88"/>
    </row>
    <row r="114" spans="2:12" x14ac:dyDescent="0.25">
      <c r="B114" s="88"/>
      <c r="C114" s="89"/>
      <c r="D114" s="89"/>
      <c r="E114" s="89"/>
      <c r="F114" s="89"/>
      <c r="G114" s="88"/>
      <c r="H114" s="88"/>
      <c r="I114" s="261"/>
      <c r="J114" s="88"/>
      <c r="K114" s="88"/>
      <c r="L114" s="88"/>
    </row>
    <row r="115" spans="2:12" x14ac:dyDescent="0.25">
      <c r="B115" s="88"/>
      <c r="C115" s="89"/>
      <c r="D115" s="89"/>
      <c r="E115" s="89"/>
      <c r="F115" s="89"/>
      <c r="G115" s="88"/>
      <c r="H115" s="88"/>
      <c r="I115" s="261"/>
      <c r="J115" s="88"/>
      <c r="K115" s="88"/>
      <c r="L115" s="88"/>
    </row>
    <row r="116" spans="2:12" x14ac:dyDescent="0.25">
      <c r="B116" s="88"/>
      <c r="C116" s="89"/>
      <c r="D116" s="89"/>
      <c r="E116" s="89"/>
      <c r="F116" s="89"/>
      <c r="G116" s="88"/>
      <c r="H116" s="88"/>
      <c r="I116" s="261"/>
      <c r="J116" s="88"/>
      <c r="K116" s="88"/>
      <c r="L116" s="88"/>
    </row>
    <row r="117" spans="2:12" x14ac:dyDescent="0.25">
      <c r="B117" s="88"/>
      <c r="C117" s="89"/>
      <c r="D117" s="89"/>
      <c r="E117" s="89"/>
      <c r="F117" s="89"/>
      <c r="G117" s="88"/>
      <c r="H117" s="88"/>
      <c r="I117" s="261"/>
      <c r="J117" s="88"/>
      <c r="K117" s="88"/>
      <c r="L117" s="88"/>
    </row>
    <row r="118" spans="2:12" x14ac:dyDescent="0.25">
      <c r="B118" s="88"/>
      <c r="C118" s="89"/>
      <c r="D118" s="89"/>
      <c r="E118" s="89"/>
      <c r="F118" s="89"/>
      <c r="G118" s="88"/>
      <c r="H118" s="88"/>
      <c r="I118" s="261"/>
      <c r="J118" s="88"/>
      <c r="K118" s="88"/>
      <c r="L118" s="88"/>
    </row>
    <row r="119" spans="2:12" x14ac:dyDescent="0.25">
      <c r="B119" s="88"/>
      <c r="C119" s="89"/>
      <c r="D119" s="89"/>
      <c r="E119" s="89"/>
      <c r="F119" s="89"/>
      <c r="G119" s="88"/>
      <c r="H119" s="88"/>
      <c r="I119" s="261"/>
      <c r="J119" s="88"/>
      <c r="K119" s="88"/>
      <c r="L119" s="88"/>
    </row>
    <row r="120" spans="2:12" x14ac:dyDescent="0.25">
      <c r="B120" s="88"/>
      <c r="C120" s="89"/>
      <c r="D120" s="89"/>
      <c r="E120" s="89"/>
      <c r="F120" s="89"/>
      <c r="G120" s="88"/>
      <c r="H120" s="88"/>
      <c r="I120" s="261"/>
      <c r="J120" s="88"/>
      <c r="K120" s="88"/>
      <c r="L120" s="88"/>
    </row>
    <row r="121" spans="2:12" x14ac:dyDescent="0.25">
      <c r="B121" s="88"/>
      <c r="C121" s="89"/>
      <c r="D121" s="89"/>
      <c r="E121" s="89"/>
      <c r="F121" s="89"/>
      <c r="G121" s="88"/>
      <c r="H121" s="88"/>
      <c r="I121" s="261"/>
      <c r="J121" s="88"/>
      <c r="K121" s="88"/>
      <c r="L121" s="88"/>
    </row>
    <row r="122" spans="2:12" x14ac:dyDescent="0.25">
      <c r="B122" s="88"/>
      <c r="C122" s="89"/>
      <c r="D122" s="89"/>
      <c r="E122" s="89"/>
      <c r="F122" s="89"/>
      <c r="G122" s="88"/>
      <c r="H122" s="88"/>
      <c r="I122" s="261"/>
      <c r="J122" s="88"/>
      <c r="K122" s="88"/>
      <c r="L122" s="88"/>
    </row>
    <row r="123" spans="2:12" x14ac:dyDescent="0.25">
      <c r="B123" s="88"/>
      <c r="C123" s="89"/>
      <c r="D123" s="89"/>
      <c r="E123" s="89"/>
      <c r="F123" s="89"/>
      <c r="G123" s="88"/>
      <c r="H123" s="88"/>
      <c r="I123" s="261"/>
      <c r="J123" s="88"/>
      <c r="K123" s="88"/>
      <c r="L123" s="88"/>
    </row>
    <row r="124" spans="2:12" x14ac:dyDescent="0.25">
      <c r="B124" s="88"/>
      <c r="C124" s="89"/>
      <c r="D124" s="89"/>
      <c r="E124" s="89"/>
      <c r="F124" s="89"/>
      <c r="G124" s="88"/>
      <c r="H124" s="88"/>
      <c r="I124" s="261"/>
      <c r="J124" s="88"/>
      <c r="K124" s="88"/>
      <c r="L124" s="88"/>
    </row>
    <row r="125" spans="2:12" x14ac:dyDescent="0.25">
      <c r="B125" s="88"/>
      <c r="C125" s="89"/>
      <c r="D125" s="89"/>
      <c r="E125" s="89"/>
      <c r="F125" s="89"/>
      <c r="G125" s="88"/>
      <c r="H125" s="88"/>
      <c r="I125" s="261"/>
      <c r="J125" s="88"/>
      <c r="K125" s="88"/>
      <c r="L125" s="88"/>
    </row>
    <row r="126" spans="2:12" ht="15.75" thickBot="1" x14ac:dyDescent="0.3">
      <c r="B126" s="88"/>
      <c r="C126" s="89"/>
      <c r="D126" s="89"/>
      <c r="E126" s="89"/>
      <c r="F126" s="89"/>
      <c r="G126" s="88">
        <f>SUM(G111:G125)</f>
        <v>0</v>
      </c>
      <c r="H126" s="94">
        <f>SUM(H111:H125)</f>
        <v>0</v>
      </c>
      <c r="I126" s="262"/>
      <c r="J126" s="88"/>
      <c r="K126" s="88"/>
      <c r="L126" s="88"/>
    </row>
    <row r="127" spans="2:12" ht="15.75" thickBot="1" x14ac:dyDescent="0.3">
      <c r="B127" s="95"/>
      <c r="C127" s="95"/>
      <c r="D127" s="95"/>
      <c r="E127" s="95"/>
      <c r="F127" s="95"/>
      <c r="G127" s="95"/>
      <c r="H127" s="97" t="s">
        <v>93</v>
      </c>
      <c r="I127" s="98">
        <f>I111+G126-H126</f>
        <v>510.4</v>
      </c>
      <c r="J127" s="95"/>
      <c r="K127" s="88">
        <f>SUM(K111:K126)</f>
        <v>0</v>
      </c>
      <c r="L127" s="88">
        <f>SUM(L111:L126)</f>
        <v>0</v>
      </c>
    </row>
    <row r="128" spans="2:12" ht="15.75" thickBot="1" x14ac:dyDescent="0.3">
      <c r="B128" s="95"/>
      <c r="C128" s="95"/>
      <c r="D128" s="95"/>
      <c r="E128" s="95"/>
      <c r="F128" s="95"/>
      <c r="G128" s="95"/>
      <c r="H128" s="95" t="s">
        <v>94</v>
      </c>
      <c r="I128" s="98">
        <f>I127+K127+L127</f>
        <v>510.4</v>
      </c>
      <c r="J128" s="95"/>
      <c r="K128" s="95"/>
      <c r="L128" s="95"/>
    </row>
    <row r="132" spans="2:12" x14ac:dyDescent="0.25">
      <c r="B132" s="263" t="s">
        <v>56</v>
      </c>
      <c r="C132" s="263"/>
      <c r="D132" s="263"/>
      <c r="E132" s="263"/>
      <c r="F132" s="263"/>
      <c r="G132" s="263"/>
      <c r="H132" s="263"/>
      <c r="I132" s="79"/>
      <c r="J132" s="95"/>
      <c r="K132" s="95"/>
      <c r="L132" s="95"/>
    </row>
    <row r="133" spans="2:12" x14ac:dyDescent="0.25">
      <c r="B133" s="263" t="s">
        <v>54</v>
      </c>
      <c r="C133" s="263"/>
      <c r="D133" s="263"/>
      <c r="E133" s="263"/>
      <c r="F133" s="263"/>
      <c r="G133" s="263"/>
      <c r="H133" s="263"/>
      <c r="I133" s="79"/>
      <c r="J133" s="95"/>
      <c r="K133" s="95"/>
      <c r="L133" s="95"/>
    </row>
    <row r="134" spans="2:12" x14ac:dyDescent="0.25">
      <c r="B134" s="85" t="s">
        <v>61</v>
      </c>
      <c r="C134" s="86"/>
      <c r="D134" s="86"/>
      <c r="E134" s="86"/>
      <c r="F134" s="86" t="s">
        <v>57</v>
      </c>
      <c r="G134" s="85" t="s">
        <v>58</v>
      </c>
      <c r="H134" s="85" t="s">
        <v>59</v>
      </c>
      <c r="I134" s="85" t="s">
        <v>92</v>
      </c>
      <c r="J134" s="85" t="s">
        <v>63</v>
      </c>
      <c r="K134" s="85" t="s">
        <v>90</v>
      </c>
      <c r="L134" s="85" t="s">
        <v>91</v>
      </c>
    </row>
    <row r="135" spans="2:12" x14ac:dyDescent="0.25">
      <c r="B135" s="88">
        <v>1</v>
      </c>
      <c r="C135" s="89"/>
      <c r="D135" s="89"/>
      <c r="E135" s="89"/>
      <c r="F135" s="89">
        <v>166</v>
      </c>
      <c r="G135" s="88"/>
      <c r="H135" s="88"/>
      <c r="I135" s="260">
        <f>(F135+G135)-H135</f>
        <v>166</v>
      </c>
      <c r="J135" s="93"/>
      <c r="K135" s="88"/>
      <c r="L135" s="88"/>
    </row>
    <row r="136" spans="2:12" x14ac:dyDescent="0.25">
      <c r="B136" s="88"/>
      <c r="C136" s="89"/>
      <c r="D136" s="89"/>
      <c r="E136" s="89"/>
      <c r="F136" s="89"/>
      <c r="G136" s="88"/>
      <c r="H136" s="88"/>
      <c r="I136" s="261"/>
      <c r="J136" s="93"/>
      <c r="K136" s="88"/>
      <c r="L136" s="88"/>
    </row>
    <row r="137" spans="2:12" x14ac:dyDescent="0.25">
      <c r="B137" s="88"/>
      <c r="C137" s="89"/>
      <c r="D137" s="89"/>
      <c r="E137" s="89"/>
      <c r="F137" s="89"/>
      <c r="G137" s="88"/>
      <c r="H137" s="88"/>
      <c r="I137" s="261"/>
      <c r="J137" s="93"/>
      <c r="K137" s="88"/>
      <c r="L137" s="88"/>
    </row>
    <row r="138" spans="2:12" x14ac:dyDescent="0.25">
      <c r="B138" s="88"/>
      <c r="C138" s="89"/>
      <c r="D138" s="89"/>
      <c r="E138" s="89"/>
      <c r="F138" s="89"/>
      <c r="G138" s="88"/>
      <c r="H138" s="88"/>
      <c r="I138" s="261"/>
      <c r="J138" s="88"/>
      <c r="K138" s="88"/>
      <c r="L138" s="88"/>
    </row>
    <row r="139" spans="2:12" x14ac:dyDescent="0.25">
      <c r="B139" s="88"/>
      <c r="C139" s="89"/>
      <c r="D139" s="89"/>
      <c r="E139" s="89"/>
      <c r="F139" s="89"/>
      <c r="G139" s="88"/>
      <c r="H139" s="88"/>
      <c r="I139" s="261"/>
      <c r="J139" s="88"/>
      <c r="K139" s="88"/>
      <c r="L139" s="88"/>
    </row>
    <row r="140" spans="2:12" x14ac:dyDescent="0.25">
      <c r="B140" s="88"/>
      <c r="C140" s="89"/>
      <c r="D140" s="89"/>
      <c r="E140" s="89"/>
      <c r="F140" s="89"/>
      <c r="G140" s="88"/>
      <c r="H140" s="88"/>
      <c r="I140" s="261"/>
      <c r="J140" s="88"/>
      <c r="K140" s="88"/>
      <c r="L140" s="88"/>
    </row>
    <row r="141" spans="2:12" x14ac:dyDescent="0.25">
      <c r="B141" s="88"/>
      <c r="C141" s="89"/>
      <c r="D141" s="89"/>
      <c r="E141" s="89"/>
      <c r="F141" s="89"/>
      <c r="G141" s="88"/>
      <c r="H141" s="88"/>
      <c r="I141" s="261"/>
      <c r="J141" s="88"/>
      <c r="K141" s="88"/>
      <c r="L141" s="88"/>
    </row>
    <row r="142" spans="2:12" x14ac:dyDescent="0.25">
      <c r="B142" s="88"/>
      <c r="C142" s="89"/>
      <c r="D142" s="89"/>
      <c r="E142" s="89"/>
      <c r="F142" s="89"/>
      <c r="G142" s="88"/>
      <c r="H142" s="88"/>
      <c r="I142" s="261"/>
      <c r="J142" s="88"/>
      <c r="K142" s="88"/>
      <c r="L142" s="88"/>
    </row>
    <row r="143" spans="2:12" x14ac:dyDescent="0.25">
      <c r="B143" s="88"/>
      <c r="C143" s="89"/>
      <c r="D143" s="89"/>
      <c r="E143" s="89"/>
      <c r="F143" s="89"/>
      <c r="G143" s="88"/>
      <c r="H143" s="88"/>
      <c r="I143" s="261"/>
      <c r="J143" s="88"/>
      <c r="K143" s="88"/>
      <c r="L143" s="88"/>
    </row>
    <row r="144" spans="2:12" x14ac:dyDescent="0.25">
      <c r="B144" s="88"/>
      <c r="C144" s="89"/>
      <c r="D144" s="89"/>
      <c r="E144" s="89"/>
      <c r="F144" s="89"/>
      <c r="G144" s="88"/>
      <c r="H144" s="88"/>
      <c r="I144" s="261"/>
      <c r="J144" s="88"/>
      <c r="K144" s="88"/>
      <c r="L144" s="88"/>
    </row>
    <row r="145" spans="2:12" x14ac:dyDescent="0.25">
      <c r="B145" s="88"/>
      <c r="C145" s="89"/>
      <c r="D145" s="89"/>
      <c r="E145" s="89"/>
      <c r="F145" s="89"/>
      <c r="G145" s="88"/>
      <c r="H145" s="88"/>
      <c r="I145" s="261"/>
      <c r="J145" s="88"/>
      <c r="K145" s="88"/>
      <c r="L145" s="88"/>
    </row>
    <row r="146" spans="2:12" x14ac:dyDescent="0.25">
      <c r="B146" s="88"/>
      <c r="C146" s="89"/>
      <c r="D146" s="89"/>
      <c r="E146" s="89"/>
      <c r="F146" s="89"/>
      <c r="G146" s="88"/>
      <c r="H146" s="88"/>
      <c r="I146" s="261"/>
      <c r="J146" s="88"/>
      <c r="K146" s="88"/>
      <c r="L146" s="88"/>
    </row>
    <row r="147" spans="2:12" x14ac:dyDescent="0.25">
      <c r="B147" s="88"/>
      <c r="C147" s="89"/>
      <c r="D147" s="89"/>
      <c r="E147" s="89"/>
      <c r="F147" s="89"/>
      <c r="G147" s="88"/>
      <c r="H147" s="88"/>
      <c r="I147" s="261"/>
      <c r="J147" s="88"/>
      <c r="K147" s="88"/>
      <c r="L147" s="88"/>
    </row>
    <row r="148" spans="2:12" x14ac:dyDescent="0.25">
      <c r="B148" s="88"/>
      <c r="C148" s="89"/>
      <c r="D148" s="89"/>
      <c r="E148" s="89"/>
      <c r="F148" s="89"/>
      <c r="G148" s="88"/>
      <c r="H148" s="88"/>
      <c r="I148" s="261"/>
      <c r="J148" s="88"/>
      <c r="K148" s="88"/>
      <c r="L148" s="88"/>
    </row>
    <row r="149" spans="2:12" x14ac:dyDescent="0.25">
      <c r="B149" s="88"/>
      <c r="C149" s="89"/>
      <c r="D149" s="89"/>
      <c r="E149" s="89"/>
      <c r="F149" s="89"/>
      <c r="G149" s="88"/>
      <c r="H149" s="88"/>
      <c r="I149" s="261"/>
      <c r="J149" s="88"/>
      <c r="K149" s="88"/>
      <c r="L149" s="88"/>
    </row>
    <row r="150" spans="2:12" ht="15.75" thickBot="1" x14ac:dyDescent="0.3">
      <c r="B150" s="88"/>
      <c r="C150" s="89"/>
      <c r="D150" s="89"/>
      <c r="E150" s="89"/>
      <c r="F150" s="89"/>
      <c r="G150" s="88">
        <f>SUM(G135:G149)</f>
        <v>0</v>
      </c>
      <c r="H150" s="94">
        <f>SUM(H135:H149)</f>
        <v>0</v>
      </c>
      <c r="I150" s="262"/>
      <c r="J150" s="88"/>
      <c r="K150" s="88"/>
      <c r="L150" s="88"/>
    </row>
    <row r="151" spans="2:12" ht="15.75" thickBot="1" x14ac:dyDescent="0.3">
      <c r="B151" s="95"/>
      <c r="C151" s="95"/>
      <c r="D151" s="95"/>
      <c r="E151" s="95"/>
      <c r="F151" s="95"/>
      <c r="G151" s="95"/>
      <c r="H151" s="97" t="s">
        <v>93</v>
      </c>
      <c r="I151" s="98">
        <f>I135+G150-H150</f>
        <v>166</v>
      </c>
      <c r="J151" s="95"/>
      <c r="K151" s="88">
        <f>SUM(K135:K150)</f>
        <v>0</v>
      </c>
      <c r="L151" s="88">
        <f>SUM(L135:L150)</f>
        <v>0</v>
      </c>
    </row>
    <row r="152" spans="2:12" ht="15.75" thickBot="1" x14ac:dyDescent="0.3">
      <c r="B152" s="95"/>
      <c r="C152" s="95"/>
      <c r="D152" s="95"/>
      <c r="E152" s="95"/>
      <c r="F152" s="95"/>
      <c r="G152" s="95"/>
      <c r="H152" s="95" t="s">
        <v>94</v>
      </c>
      <c r="I152" s="98">
        <f>I151+K151+L151</f>
        <v>166</v>
      </c>
      <c r="J152" s="95"/>
      <c r="K152" s="95"/>
      <c r="L152" s="95"/>
    </row>
    <row r="153" spans="2:12" x14ac:dyDescent="0.25"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</row>
    <row r="156" spans="2:12" x14ac:dyDescent="0.25">
      <c r="B156" s="263" t="s">
        <v>56</v>
      </c>
      <c r="C156" s="263"/>
      <c r="D156" s="263"/>
      <c r="E156" s="263"/>
      <c r="F156" s="263"/>
      <c r="G156" s="263"/>
      <c r="H156" s="263"/>
      <c r="I156" s="79"/>
      <c r="J156" s="95"/>
      <c r="K156" s="95"/>
      <c r="L156" s="95"/>
    </row>
    <row r="157" spans="2:12" x14ac:dyDescent="0.25">
      <c r="B157" s="263" t="s">
        <v>77</v>
      </c>
      <c r="C157" s="263"/>
      <c r="D157" s="263"/>
      <c r="E157" s="263"/>
      <c r="F157" s="263"/>
      <c r="G157" s="263"/>
      <c r="H157" s="263"/>
      <c r="I157" s="79"/>
      <c r="J157" s="95"/>
      <c r="K157" s="95"/>
      <c r="L157" s="95"/>
    </row>
    <row r="158" spans="2:12" x14ac:dyDescent="0.25">
      <c r="B158" s="85" t="s">
        <v>61</v>
      </c>
      <c r="C158" s="86"/>
      <c r="D158" s="86"/>
      <c r="E158" s="86"/>
      <c r="F158" s="86" t="s">
        <v>57</v>
      </c>
      <c r="G158" s="85" t="s">
        <v>58</v>
      </c>
      <c r="H158" s="85" t="s">
        <v>59</v>
      </c>
      <c r="I158" s="85" t="s">
        <v>92</v>
      </c>
      <c r="J158" s="85" t="s">
        <v>63</v>
      </c>
      <c r="K158" s="85" t="s">
        <v>90</v>
      </c>
      <c r="L158" s="85" t="s">
        <v>91</v>
      </c>
    </row>
    <row r="159" spans="2:12" x14ac:dyDescent="0.25">
      <c r="B159" s="88">
        <v>1</v>
      </c>
      <c r="C159" s="89"/>
      <c r="D159" s="89"/>
      <c r="E159" s="89"/>
      <c r="F159" s="89">
        <v>512.4</v>
      </c>
      <c r="G159" s="88"/>
      <c r="H159" s="88"/>
      <c r="I159" s="260">
        <f>(F159+G159)-H159</f>
        <v>512.4</v>
      </c>
      <c r="J159" s="93"/>
      <c r="K159" s="88">
        <v>5.6</v>
      </c>
      <c r="L159" s="88"/>
    </row>
    <row r="160" spans="2:12" x14ac:dyDescent="0.25">
      <c r="B160" s="88"/>
      <c r="C160" s="89"/>
      <c r="D160" s="89"/>
      <c r="E160" s="89"/>
      <c r="F160" s="89"/>
      <c r="G160" s="88"/>
      <c r="H160" s="88"/>
      <c r="I160" s="261"/>
      <c r="J160" s="93"/>
      <c r="K160" s="88">
        <v>16</v>
      </c>
      <c r="L160" s="88"/>
    </row>
    <row r="161" spans="2:12" x14ac:dyDescent="0.25">
      <c r="B161" s="88"/>
      <c r="C161" s="89"/>
      <c r="D161" s="89"/>
      <c r="E161" s="89"/>
      <c r="F161" s="89"/>
      <c r="G161" s="88"/>
      <c r="H161" s="88"/>
      <c r="I161" s="261"/>
      <c r="J161" s="93"/>
      <c r="K161" s="88">
        <v>8.4</v>
      </c>
      <c r="L161" s="88"/>
    </row>
    <row r="162" spans="2:12" x14ac:dyDescent="0.25">
      <c r="B162" s="88"/>
      <c r="C162" s="89"/>
      <c r="D162" s="89"/>
      <c r="E162" s="89"/>
      <c r="F162" s="89"/>
      <c r="G162" s="88"/>
      <c r="H162" s="88"/>
      <c r="I162" s="261"/>
      <c r="J162" s="88"/>
      <c r="K162" s="88">
        <v>6.4</v>
      </c>
      <c r="L162" s="88"/>
    </row>
    <row r="163" spans="2:12" x14ac:dyDescent="0.25">
      <c r="B163" s="88"/>
      <c r="C163" s="89"/>
      <c r="D163" s="89"/>
      <c r="E163" s="89"/>
      <c r="F163" s="89"/>
      <c r="G163" s="88"/>
      <c r="H163" s="88"/>
      <c r="I163" s="261"/>
      <c r="J163" s="88"/>
      <c r="K163" s="88">
        <v>14.4</v>
      </c>
      <c r="L163" s="88"/>
    </row>
    <row r="164" spans="2:12" x14ac:dyDescent="0.25">
      <c r="B164" s="88"/>
      <c r="C164" s="89"/>
      <c r="D164" s="89"/>
      <c r="E164" s="89"/>
      <c r="F164" s="89"/>
      <c r="G164" s="88"/>
      <c r="H164" s="88"/>
      <c r="I164" s="261"/>
      <c r="J164" s="88"/>
      <c r="K164" s="88">
        <v>16.8</v>
      </c>
      <c r="L164" s="88"/>
    </row>
    <row r="165" spans="2:12" x14ac:dyDescent="0.25">
      <c r="B165" s="88"/>
      <c r="C165" s="89"/>
      <c r="D165" s="89"/>
      <c r="E165" s="89"/>
      <c r="F165" s="89"/>
      <c r="G165" s="88"/>
      <c r="H165" s="88"/>
      <c r="I165" s="261"/>
      <c r="J165" s="88"/>
      <c r="K165" s="88"/>
      <c r="L165" s="88"/>
    </row>
    <row r="166" spans="2:12" x14ac:dyDescent="0.25">
      <c r="B166" s="88"/>
      <c r="C166" s="89"/>
      <c r="D166" s="89"/>
      <c r="E166" s="89"/>
      <c r="F166" s="89"/>
      <c r="G166" s="88"/>
      <c r="H166" s="88"/>
      <c r="I166" s="261"/>
      <c r="J166" s="88"/>
      <c r="K166" s="88"/>
      <c r="L166" s="88"/>
    </row>
    <row r="167" spans="2:12" x14ac:dyDescent="0.25">
      <c r="B167" s="88"/>
      <c r="C167" s="89"/>
      <c r="D167" s="89"/>
      <c r="E167" s="89"/>
      <c r="F167" s="89"/>
      <c r="G167" s="88"/>
      <c r="H167" s="88"/>
      <c r="I167" s="261"/>
      <c r="J167" s="88"/>
      <c r="K167" s="88"/>
      <c r="L167" s="88"/>
    </row>
    <row r="168" spans="2:12" x14ac:dyDescent="0.25">
      <c r="B168" s="88"/>
      <c r="C168" s="89"/>
      <c r="D168" s="89"/>
      <c r="E168" s="89"/>
      <c r="F168" s="89"/>
      <c r="G168" s="88"/>
      <c r="H168" s="88"/>
      <c r="I168" s="261"/>
      <c r="J168" s="88"/>
      <c r="K168" s="88"/>
      <c r="L168" s="88"/>
    </row>
    <row r="169" spans="2:12" x14ac:dyDescent="0.25">
      <c r="B169" s="88"/>
      <c r="C169" s="89"/>
      <c r="D169" s="89"/>
      <c r="E169" s="89"/>
      <c r="F169" s="89"/>
      <c r="G169" s="88"/>
      <c r="H169" s="88"/>
      <c r="I169" s="261"/>
      <c r="J169" s="88"/>
      <c r="K169" s="88"/>
      <c r="L169" s="88"/>
    </row>
    <row r="170" spans="2:12" x14ac:dyDescent="0.25">
      <c r="B170" s="88"/>
      <c r="C170" s="89"/>
      <c r="D170" s="89"/>
      <c r="E170" s="89"/>
      <c r="F170" s="89"/>
      <c r="G170" s="88"/>
      <c r="H170" s="88"/>
      <c r="I170" s="261"/>
      <c r="J170" s="88"/>
      <c r="K170" s="88"/>
      <c r="L170" s="88"/>
    </row>
    <row r="171" spans="2:12" x14ac:dyDescent="0.25">
      <c r="B171" s="88"/>
      <c r="C171" s="89"/>
      <c r="D171" s="89"/>
      <c r="E171" s="89"/>
      <c r="F171" s="89"/>
      <c r="G171" s="88"/>
      <c r="H171" s="88"/>
      <c r="I171" s="261"/>
      <c r="J171" s="88"/>
      <c r="K171" s="88"/>
      <c r="L171" s="88"/>
    </row>
    <row r="172" spans="2:12" x14ac:dyDescent="0.25">
      <c r="B172" s="88"/>
      <c r="C172" s="89"/>
      <c r="D172" s="89"/>
      <c r="E172" s="89"/>
      <c r="F172" s="89"/>
      <c r="G172" s="88"/>
      <c r="H172" s="88"/>
      <c r="I172" s="261"/>
      <c r="J172" s="88"/>
      <c r="K172" s="88"/>
      <c r="L172" s="88"/>
    </row>
    <row r="173" spans="2:12" x14ac:dyDescent="0.25">
      <c r="B173" s="88"/>
      <c r="C173" s="89"/>
      <c r="D173" s="89"/>
      <c r="E173" s="89"/>
      <c r="F173" s="89"/>
      <c r="G173" s="88"/>
      <c r="H173" s="88"/>
      <c r="I173" s="261"/>
      <c r="J173" s="88"/>
      <c r="K173" s="88"/>
      <c r="L173" s="88"/>
    </row>
    <row r="174" spans="2:12" ht="15.75" thickBot="1" x14ac:dyDescent="0.3">
      <c r="B174" s="88"/>
      <c r="C174" s="89"/>
      <c r="D174" s="89"/>
      <c r="E174" s="89"/>
      <c r="F174" s="89"/>
      <c r="G174" s="88">
        <f>SUM(G159:G173)</f>
        <v>0</v>
      </c>
      <c r="H174" s="94">
        <f>SUM(H159:H173)</f>
        <v>0</v>
      </c>
      <c r="I174" s="262"/>
      <c r="J174" s="88"/>
      <c r="K174" s="88"/>
      <c r="L174" s="88"/>
    </row>
    <row r="175" spans="2:12" ht="15.75" thickBot="1" x14ac:dyDescent="0.3">
      <c r="B175" s="95"/>
      <c r="C175" s="95"/>
      <c r="D175" s="95"/>
      <c r="E175" s="95"/>
      <c r="F175" s="95"/>
      <c r="G175" s="95"/>
      <c r="H175" s="97" t="s">
        <v>93</v>
      </c>
      <c r="I175" s="98">
        <f>I159+G174-H174</f>
        <v>512.4</v>
      </c>
      <c r="J175" s="95"/>
      <c r="K175" s="88">
        <f>SUM(K159:K174)</f>
        <v>67.599999999999994</v>
      </c>
      <c r="L175" s="88">
        <f>SUM(L159:L174)</f>
        <v>0</v>
      </c>
    </row>
    <row r="176" spans="2:12" ht="15.75" thickBot="1" x14ac:dyDescent="0.3">
      <c r="B176" s="95"/>
      <c r="C176" s="95"/>
      <c r="D176" s="95"/>
      <c r="E176" s="95"/>
      <c r="F176" s="95"/>
      <c r="G176" s="95"/>
      <c r="H176" s="95" t="s">
        <v>94</v>
      </c>
      <c r="I176" s="98">
        <f>I175+K175+L175</f>
        <v>580</v>
      </c>
      <c r="J176" s="95"/>
      <c r="K176" s="95"/>
      <c r="L176" s="95"/>
    </row>
    <row r="180" spans="2:12" x14ac:dyDescent="0.25">
      <c r="B180" s="263" t="s">
        <v>56</v>
      </c>
      <c r="C180" s="263"/>
      <c r="D180" s="263"/>
      <c r="E180" s="263"/>
      <c r="F180" s="263"/>
      <c r="G180" s="263"/>
      <c r="H180" s="263"/>
      <c r="I180" s="79"/>
      <c r="J180" s="95"/>
      <c r="K180" s="95"/>
      <c r="L180" s="95"/>
    </row>
    <row r="181" spans="2:12" x14ac:dyDescent="0.25">
      <c r="B181" s="263" t="s">
        <v>50</v>
      </c>
      <c r="C181" s="263"/>
      <c r="D181" s="263"/>
      <c r="E181" s="263"/>
      <c r="F181" s="263"/>
      <c r="G181" s="263"/>
      <c r="H181" s="263"/>
      <c r="I181" s="79"/>
      <c r="J181" s="95"/>
      <c r="K181" s="95"/>
      <c r="L181" s="95"/>
    </row>
    <row r="182" spans="2:12" x14ac:dyDescent="0.25">
      <c r="B182" s="85" t="s">
        <v>61</v>
      </c>
      <c r="C182" s="86"/>
      <c r="D182" s="86"/>
      <c r="E182" s="86"/>
      <c r="F182" s="86" t="s">
        <v>57</v>
      </c>
      <c r="G182" s="85" t="s">
        <v>58</v>
      </c>
      <c r="H182" s="85" t="s">
        <v>59</v>
      </c>
      <c r="I182" s="85" t="s">
        <v>92</v>
      </c>
      <c r="J182" s="85" t="s">
        <v>63</v>
      </c>
      <c r="K182" s="85" t="s">
        <v>90</v>
      </c>
      <c r="L182" s="85" t="s">
        <v>91</v>
      </c>
    </row>
    <row r="183" spans="2:12" x14ac:dyDescent="0.25">
      <c r="B183" s="88">
        <v>1</v>
      </c>
      <c r="C183" s="89"/>
      <c r="D183" s="89"/>
      <c r="E183" s="89"/>
      <c r="F183" s="89">
        <v>285.2</v>
      </c>
      <c r="G183" s="88"/>
      <c r="H183" s="88"/>
      <c r="I183" s="260">
        <f>(F183+G183)-H183</f>
        <v>285.2</v>
      </c>
      <c r="J183" s="93"/>
      <c r="K183" s="88"/>
      <c r="L183" s="88"/>
    </row>
    <row r="184" spans="2:12" x14ac:dyDescent="0.25">
      <c r="B184" s="88"/>
      <c r="C184" s="89"/>
      <c r="D184" s="89"/>
      <c r="E184" s="89"/>
      <c r="F184" s="89"/>
      <c r="G184" s="88"/>
      <c r="H184" s="88"/>
      <c r="I184" s="261"/>
      <c r="J184" s="93"/>
      <c r="K184" s="88"/>
      <c r="L184" s="88"/>
    </row>
    <row r="185" spans="2:12" x14ac:dyDescent="0.25">
      <c r="B185" s="88"/>
      <c r="C185" s="89"/>
      <c r="D185" s="89"/>
      <c r="E185" s="89"/>
      <c r="F185" s="89"/>
      <c r="G185" s="88"/>
      <c r="H185" s="88"/>
      <c r="I185" s="261"/>
      <c r="J185" s="93"/>
      <c r="K185" s="88"/>
      <c r="L185" s="88"/>
    </row>
    <row r="186" spans="2:12" x14ac:dyDescent="0.25">
      <c r="B186" s="88"/>
      <c r="C186" s="89"/>
      <c r="D186" s="89"/>
      <c r="E186" s="89"/>
      <c r="F186" s="89"/>
      <c r="G186" s="88"/>
      <c r="H186" s="88"/>
      <c r="I186" s="261"/>
      <c r="J186" s="88"/>
      <c r="K186" s="88"/>
      <c r="L186" s="88"/>
    </row>
    <row r="187" spans="2:12" x14ac:dyDescent="0.25">
      <c r="B187" s="88"/>
      <c r="C187" s="89"/>
      <c r="D187" s="89"/>
      <c r="E187" s="89"/>
      <c r="F187" s="89"/>
      <c r="G187" s="88"/>
      <c r="H187" s="88"/>
      <c r="I187" s="261"/>
      <c r="J187" s="88"/>
      <c r="K187" s="88"/>
      <c r="L187" s="88"/>
    </row>
    <row r="188" spans="2:12" x14ac:dyDescent="0.25">
      <c r="B188" s="88"/>
      <c r="C188" s="89"/>
      <c r="D188" s="89"/>
      <c r="E188" s="89"/>
      <c r="F188" s="89"/>
      <c r="G188" s="88"/>
      <c r="H188" s="88"/>
      <c r="I188" s="261"/>
      <c r="J188" s="88"/>
      <c r="K188" s="88"/>
      <c r="L188" s="88"/>
    </row>
    <row r="189" spans="2:12" x14ac:dyDescent="0.25">
      <c r="B189" s="88"/>
      <c r="C189" s="89"/>
      <c r="D189" s="89"/>
      <c r="E189" s="89"/>
      <c r="F189" s="89"/>
      <c r="G189" s="88"/>
      <c r="H189" s="88"/>
      <c r="I189" s="261"/>
      <c r="J189" s="88"/>
      <c r="K189" s="88"/>
      <c r="L189" s="88"/>
    </row>
    <row r="190" spans="2:12" x14ac:dyDescent="0.25">
      <c r="B190" s="88"/>
      <c r="C190" s="89"/>
      <c r="D190" s="89"/>
      <c r="E190" s="89"/>
      <c r="F190" s="89"/>
      <c r="G190" s="88"/>
      <c r="H190" s="88"/>
      <c r="I190" s="261"/>
      <c r="J190" s="88"/>
      <c r="K190" s="88"/>
      <c r="L190" s="88"/>
    </row>
    <row r="191" spans="2:12" x14ac:dyDescent="0.25">
      <c r="B191" s="88"/>
      <c r="C191" s="89"/>
      <c r="D191" s="89"/>
      <c r="E191" s="89"/>
      <c r="F191" s="89"/>
      <c r="G191" s="88"/>
      <c r="H191" s="88"/>
      <c r="I191" s="261"/>
      <c r="J191" s="88"/>
      <c r="K191" s="88"/>
      <c r="L191" s="88"/>
    </row>
    <row r="192" spans="2:12" x14ac:dyDescent="0.25">
      <c r="B192" s="88"/>
      <c r="C192" s="89"/>
      <c r="D192" s="89"/>
      <c r="E192" s="89"/>
      <c r="F192" s="89"/>
      <c r="G192" s="88"/>
      <c r="H192" s="88"/>
      <c r="I192" s="261"/>
      <c r="J192" s="88"/>
      <c r="K192" s="88"/>
      <c r="L192" s="88"/>
    </row>
    <row r="193" spans="2:12" x14ac:dyDescent="0.25">
      <c r="B193" s="88"/>
      <c r="C193" s="89"/>
      <c r="D193" s="89"/>
      <c r="E193" s="89"/>
      <c r="F193" s="89"/>
      <c r="G193" s="88"/>
      <c r="H193" s="88"/>
      <c r="I193" s="261"/>
      <c r="J193" s="88"/>
      <c r="K193" s="88"/>
      <c r="L193" s="88"/>
    </row>
    <row r="194" spans="2:12" x14ac:dyDescent="0.25">
      <c r="B194" s="88"/>
      <c r="C194" s="89"/>
      <c r="D194" s="89"/>
      <c r="E194" s="89"/>
      <c r="F194" s="89"/>
      <c r="G194" s="88"/>
      <c r="H194" s="88"/>
      <c r="I194" s="261"/>
      <c r="J194" s="88"/>
      <c r="K194" s="88"/>
      <c r="L194" s="88"/>
    </row>
    <row r="195" spans="2:12" x14ac:dyDescent="0.25">
      <c r="B195" s="88"/>
      <c r="C195" s="89"/>
      <c r="D195" s="89"/>
      <c r="E195" s="89"/>
      <c r="F195" s="89"/>
      <c r="G195" s="88"/>
      <c r="H195" s="88"/>
      <c r="I195" s="261"/>
      <c r="J195" s="88"/>
      <c r="K195" s="88"/>
      <c r="L195" s="88"/>
    </row>
    <row r="196" spans="2:12" x14ac:dyDescent="0.25">
      <c r="B196" s="88"/>
      <c r="C196" s="89"/>
      <c r="D196" s="89"/>
      <c r="E196" s="89"/>
      <c r="F196" s="89"/>
      <c r="G196" s="88"/>
      <c r="H196" s="88"/>
      <c r="I196" s="261"/>
      <c r="J196" s="88"/>
      <c r="K196" s="88"/>
      <c r="L196" s="88"/>
    </row>
    <row r="197" spans="2:12" x14ac:dyDescent="0.25">
      <c r="B197" s="88"/>
      <c r="C197" s="89"/>
      <c r="D197" s="89"/>
      <c r="E197" s="89"/>
      <c r="F197" s="89"/>
      <c r="G197" s="88"/>
      <c r="H197" s="88"/>
      <c r="I197" s="261"/>
      <c r="J197" s="88"/>
      <c r="K197" s="88"/>
      <c r="L197" s="88"/>
    </row>
    <row r="198" spans="2:12" ht="15.75" thickBot="1" x14ac:dyDescent="0.3">
      <c r="B198" s="88"/>
      <c r="C198" s="89"/>
      <c r="D198" s="89"/>
      <c r="E198" s="89"/>
      <c r="F198" s="89"/>
      <c r="G198" s="88">
        <f>SUM(G183:G197)</f>
        <v>0</v>
      </c>
      <c r="H198" s="94">
        <f>SUM(H183:H197)</f>
        <v>0</v>
      </c>
      <c r="I198" s="262"/>
      <c r="J198" s="88"/>
      <c r="K198" s="88"/>
      <c r="L198" s="88"/>
    </row>
    <row r="199" spans="2:12" ht="15.75" thickBot="1" x14ac:dyDescent="0.3">
      <c r="B199" s="95"/>
      <c r="C199" s="95"/>
      <c r="D199" s="95"/>
      <c r="E199" s="95"/>
      <c r="F199" s="95"/>
      <c r="G199" s="95"/>
      <c r="H199" s="97" t="s">
        <v>93</v>
      </c>
      <c r="I199" s="98">
        <f>I183+G198-H198</f>
        <v>285.2</v>
      </c>
      <c r="J199" s="95"/>
      <c r="K199" s="88">
        <f>SUM(K183:K198)</f>
        <v>0</v>
      </c>
      <c r="L199" s="88">
        <f>SUM(L183:L198)</f>
        <v>0</v>
      </c>
    </row>
    <row r="200" spans="2:12" ht="15.75" thickBot="1" x14ac:dyDescent="0.3">
      <c r="B200" s="95"/>
      <c r="C200" s="95"/>
      <c r="D200" s="95"/>
      <c r="E200" s="95"/>
      <c r="F200" s="95"/>
      <c r="G200" s="95"/>
      <c r="H200" s="95" t="s">
        <v>94</v>
      </c>
      <c r="I200" s="98">
        <f>I199+K199+L199</f>
        <v>285.2</v>
      </c>
      <c r="J200" s="95"/>
      <c r="K200" s="95"/>
      <c r="L200" s="95"/>
    </row>
    <row r="201" spans="2:12" x14ac:dyDescent="0.25"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</row>
    <row r="203" spans="2:12" x14ac:dyDescent="0.25">
      <c r="B203" s="263" t="s">
        <v>56</v>
      </c>
      <c r="C203" s="263"/>
      <c r="D203" s="263"/>
      <c r="E203" s="263"/>
      <c r="F203" s="263"/>
      <c r="G203" s="263"/>
      <c r="H203" s="263"/>
      <c r="I203" s="79"/>
      <c r="J203" s="95"/>
      <c r="K203" s="95"/>
      <c r="L203" s="95"/>
    </row>
    <row r="204" spans="2:12" x14ac:dyDescent="0.25">
      <c r="B204" s="263" t="s">
        <v>49</v>
      </c>
      <c r="C204" s="263"/>
      <c r="D204" s="263"/>
      <c r="E204" s="263"/>
      <c r="F204" s="263"/>
      <c r="G204" s="263"/>
      <c r="H204" s="263"/>
      <c r="I204" s="79"/>
      <c r="J204" s="95"/>
      <c r="K204" s="95"/>
      <c r="L204" s="95"/>
    </row>
    <row r="205" spans="2:12" x14ac:dyDescent="0.25">
      <c r="B205" s="85" t="s">
        <v>61</v>
      </c>
      <c r="C205" s="86"/>
      <c r="D205" s="86"/>
      <c r="E205" s="86"/>
      <c r="F205" s="86" t="s">
        <v>57</v>
      </c>
      <c r="G205" s="85" t="s">
        <v>58</v>
      </c>
      <c r="H205" s="85" t="s">
        <v>59</v>
      </c>
      <c r="I205" s="85" t="s">
        <v>92</v>
      </c>
      <c r="J205" s="85" t="s">
        <v>63</v>
      </c>
      <c r="K205" s="85" t="s">
        <v>90</v>
      </c>
      <c r="L205" s="85" t="s">
        <v>91</v>
      </c>
    </row>
    <row r="206" spans="2:12" x14ac:dyDescent="0.25">
      <c r="B206" s="88">
        <v>1</v>
      </c>
      <c r="C206" s="89"/>
      <c r="D206" s="89"/>
      <c r="E206" s="89"/>
      <c r="F206" s="89">
        <v>306.60000000000002</v>
      </c>
      <c r="G206" s="88"/>
      <c r="H206" s="88"/>
      <c r="I206" s="260">
        <f>(F206+G206)-H206</f>
        <v>306.60000000000002</v>
      </c>
      <c r="J206" s="93"/>
      <c r="K206" s="88"/>
      <c r="L206" s="88"/>
    </row>
    <row r="207" spans="2:12" x14ac:dyDescent="0.25">
      <c r="B207" s="88"/>
      <c r="C207" s="89"/>
      <c r="D207" s="89"/>
      <c r="E207" s="89"/>
      <c r="F207" s="89"/>
      <c r="G207" s="88"/>
      <c r="H207" s="88"/>
      <c r="I207" s="261"/>
      <c r="J207" s="93"/>
      <c r="K207" s="88"/>
      <c r="L207" s="88"/>
    </row>
    <row r="208" spans="2:12" x14ac:dyDescent="0.25">
      <c r="B208" s="88"/>
      <c r="C208" s="89"/>
      <c r="D208" s="89"/>
      <c r="E208" s="89"/>
      <c r="F208" s="89"/>
      <c r="G208" s="88"/>
      <c r="H208" s="88"/>
      <c r="I208" s="261"/>
      <c r="J208" s="93"/>
      <c r="K208" s="88"/>
      <c r="L208" s="88"/>
    </row>
    <row r="209" spans="2:12" x14ac:dyDescent="0.25">
      <c r="B209" s="88"/>
      <c r="C209" s="89"/>
      <c r="D209" s="89"/>
      <c r="E209" s="89"/>
      <c r="F209" s="89"/>
      <c r="G209" s="88"/>
      <c r="H209" s="88"/>
      <c r="I209" s="261"/>
      <c r="J209" s="88"/>
      <c r="K209" s="88"/>
      <c r="L209" s="88"/>
    </row>
    <row r="210" spans="2:12" x14ac:dyDescent="0.25">
      <c r="B210" s="88"/>
      <c r="C210" s="89"/>
      <c r="D210" s="89"/>
      <c r="E210" s="89"/>
      <c r="F210" s="89"/>
      <c r="G210" s="88"/>
      <c r="H210" s="88"/>
      <c r="I210" s="261"/>
      <c r="J210" s="88"/>
      <c r="K210" s="88"/>
      <c r="L210" s="88"/>
    </row>
    <row r="211" spans="2:12" x14ac:dyDescent="0.25">
      <c r="B211" s="88"/>
      <c r="C211" s="89"/>
      <c r="D211" s="89"/>
      <c r="E211" s="89"/>
      <c r="F211" s="89"/>
      <c r="G211" s="88"/>
      <c r="H211" s="88"/>
      <c r="I211" s="261"/>
      <c r="J211" s="88"/>
      <c r="K211" s="88"/>
      <c r="L211" s="88"/>
    </row>
    <row r="212" spans="2:12" x14ac:dyDescent="0.25">
      <c r="B212" s="88"/>
      <c r="C212" s="89"/>
      <c r="D212" s="89"/>
      <c r="E212" s="89"/>
      <c r="F212" s="89"/>
      <c r="G212" s="88"/>
      <c r="H212" s="88"/>
      <c r="I212" s="261"/>
      <c r="J212" s="88"/>
      <c r="K212" s="88"/>
      <c r="L212" s="88"/>
    </row>
    <row r="213" spans="2:12" x14ac:dyDescent="0.25">
      <c r="B213" s="88"/>
      <c r="C213" s="89"/>
      <c r="D213" s="89"/>
      <c r="E213" s="89"/>
      <c r="F213" s="89"/>
      <c r="G213" s="88"/>
      <c r="H213" s="88"/>
      <c r="I213" s="261"/>
      <c r="J213" s="88"/>
      <c r="K213" s="88"/>
      <c r="L213" s="88"/>
    </row>
    <row r="214" spans="2:12" x14ac:dyDescent="0.25">
      <c r="B214" s="88"/>
      <c r="C214" s="89"/>
      <c r="D214" s="89"/>
      <c r="E214" s="89"/>
      <c r="F214" s="89"/>
      <c r="G214" s="88"/>
      <c r="H214" s="88"/>
      <c r="I214" s="261"/>
      <c r="J214" s="88"/>
      <c r="K214" s="88"/>
      <c r="L214" s="88"/>
    </row>
    <row r="215" spans="2:12" x14ac:dyDescent="0.25">
      <c r="B215" s="88"/>
      <c r="C215" s="89"/>
      <c r="D215" s="89"/>
      <c r="E215" s="89"/>
      <c r="F215" s="89"/>
      <c r="G215" s="88"/>
      <c r="H215" s="88"/>
      <c r="I215" s="261"/>
      <c r="J215" s="88"/>
      <c r="K215" s="88"/>
      <c r="L215" s="88"/>
    </row>
    <row r="216" spans="2:12" x14ac:dyDescent="0.25">
      <c r="B216" s="88"/>
      <c r="C216" s="89"/>
      <c r="D216" s="89"/>
      <c r="E216" s="89"/>
      <c r="F216" s="89"/>
      <c r="G216" s="88"/>
      <c r="H216" s="88"/>
      <c r="I216" s="261"/>
      <c r="J216" s="88"/>
      <c r="K216" s="88"/>
      <c r="L216" s="88"/>
    </row>
    <row r="217" spans="2:12" x14ac:dyDescent="0.25">
      <c r="B217" s="88"/>
      <c r="C217" s="89"/>
      <c r="D217" s="89"/>
      <c r="E217" s="89"/>
      <c r="F217" s="89"/>
      <c r="G217" s="88"/>
      <c r="H217" s="88"/>
      <c r="I217" s="261"/>
      <c r="J217" s="88"/>
      <c r="K217" s="88"/>
      <c r="L217" s="88"/>
    </row>
    <row r="218" spans="2:12" x14ac:dyDescent="0.25">
      <c r="B218" s="88"/>
      <c r="C218" s="89"/>
      <c r="D218" s="89"/>
      <c r="E218" s="89"/>
      <c r="F218" s="89"/>
      <c r="G218" s="88"/>
      <c r="H218" s="88"/>
      <c r="I218" s="261"/>
      <c r="J218" s="88"/>
      <c r="K218" s="88"/>
      <c r="L218" s="88"/>
    </row>
    <row r="219" spans="2:12" x14ac:dyDescent="0.25">
      <c r="B219" s="88"/>
      <c r="C219" s="89"/>
      <c r="D219" s="89"/>
      <c r="E219" s="89"/>
      <c r="F219" s="89"/>
      <c r="G219" s="88"/>
      <c r="H219" s="88"/>
      <c r="I219" s="261"/>
      <c r="J219" s="88"/>
      <c r="K219" s="88"/>
      <c r="L219" s="88"/>
    </row>
    <row r="220" spans="2:12" x14ac:dyDescent="0.25">
      <c r="B220" s="88"/>
      <c r="C220" s="89"/>
      <c r="D220" s="89"/>
      <c r="E220" s="89"/>
      <c r="F220" s="89"/>
      <c r="G220" s="88"/>
      <c r="H220" s="88"/>
      <c r="I220" s="261"/>
      <c r="J220" s="88"/>
      <c r="K220" s="88"/>
      <c r="L220" s="88"/>
    </row>
    <row r="221" spans="2:12" ht="15.75" thickBot="1" x14ac:dyDescent="0.3">
      <c r="B221" s="88"/>
      <c r="C221" s="89"/>
      <c r="D221" s="89"/>
      <c r="E221" s="89"/>
      <c r="F221" s="89"/>
      <c r="G221" s="88">
        <f>SUM(G206:G220)</f>
        <v>0</v>
      </c>
      <c r="H221" s="94">
        <f>SUM(H206:H220)</f>
        <v>0</v>
      </c>
      <c r="I221" s="262"/>
      <c r="J221" s="88"/>
      <c r="K221" s="88"/>
      <c r="L221" s="88"/>
    </row>
    <row r="222" spans="2:12" ht="15.75" thickBot="1" x14ac:dyDescent="0.3">
      <c r="B222" s="95"/>
      <c r="C222" s="95"/>
      <c r="D222" s="95"/>
      <c r="E222" s="95"/>
      <c r="F222" s="95"/>
      <c r="G222" s="95"/>
      <c r="H222" s="97" t="s">
        <v>93</v>
      </c>
      <c r="I222" s="98">
        <f>I206+G221-H221</f>
        <v>306.60000000000002</v>
      </c>
      <c r="J222" s="95"/>
      <c r="K222" s="88">
        <f>SUM(K206:K221)</f>
        <v>0</v>
      </c>
      <c r="L222" s="88">
        <f>SUM(L206:L221)</f>
        <v>0</v>
      </c>
    </row>
    <row r="223" spans="2:12" ht="15.75" thickBot="1" x14ac:dyDescent="0.3">
      <c r="B223" s="95"/>
      <c r="C223" s="95"/>
      <c r="D223" s="95"/>
      <c r="E223" s="95"/>
      <c r="F223" s="95"/>
      <c r="G223" s="95"/>
      <c r="H223" s="95" t="s">
        <v>94</v>
      </c>
      <c r="I223" s="98">
        <f>I222+K222+L222</f>
        <v>306.60000000000002</v>
      </c>
      <c r="J223" s="95"/>
      <c r="K223" s="95"/>
      <c r="L223" s="95"/>
    </row>
    <row r="224" spans="2:12" x14ac:dyDescent="0.25"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</row>
    <row r="227" spans="2:12" x14ac:dyDescent="0.25">
      <c r="B227" s="263" t="s">
        <v>56</v>
      </c>
      <c r="C227" s="263"/>
      <c r="D227" s="263"/>
      <c r="E227" s="263"/>
      <c r="F227" s="263"/>
      <c r="G227" s="263"/>
      <c r="H227" s="263"/>
      <c r="I227" s="79"/>
      <c r="J227" s="95"/>
      <c r="K227" s="95"/>
      <c r="L227" s="95"/>
    </row>
    <row r="228" spans="2:12" x14ac:dyDescent="0.25">
      <c r="B228" s="263" t="s">
        <v>81</v>
      </c>
      <c r="C228" s="263"/>
      <c r="D228" s="263"/>
      <c r="E228" s="263"/>
      <c r="F228" s="263"/>
      <c r="G228" s="263"/>
      <c r="H228" s="263"/>
      <c r="I228" s="79"/>
      <c r="J228" s="95"/>
      <c r="K228" s="95"/>
      <c r="L228" s="95"/>
    </row>
    <row r="229" spans="2:12" x14ac:dyDescent="0.25">
      <c r="B229" s="85" t="s">
        <v>61</v>
      </c>
      <c r="C229" s="86"/>
      <c r="D229" s="86"/>
      <c r="E229" s="86"/>
      <c r="F229" s="86" t="s">
        <v>57</v>
      </c>
      <c r="G229" s="85" t="s">
        <v>58</v>
      </c>
      <c r="H229" s="85" t="s">
        <v>59</v>
      </c>
      <c r="I229" s="85" t="s">
        <v>92</v>
      </c>
      <c r="J229" s="85" t="s">
        <v>63</v>
      </c>
      <c r="K229" s="85" t="s">
        <v>90</v>
      </c>
      <c r="L229" s="85" t="s">
        <v>91</v>
      </c>
    </row>
    <row r="230" spans="2:12" x14ac:dyDescent="0.25">
      <c r="B230" s="88">
        <v>1</v>
      </c>
      <c r="C230" s="89"/>
      <c r="D230" s="89"/>
      <c r="E230" s="89"/>
      <c r="F230" s="89">
        <v>201</v>
      </c>
      <c r="G230" s="88"/>
      <c r="H230" s="88"/>
      <c r="I230" s="260">
        <f>(F230+G230)-H230</f>
        <v>201</v>
      </c>
      <c r="J230" s="93"/>
      <c r="K230" s="88"/>
      <c r="L230" s="88"/>
    </row>
    <row r="231" spans="2:12" x14ac:dyDescent="0.25">
      <c r="B231" s="88"/>
      <c r="C231" s="89"/>
      <c r="D231" s="89"/>
      <c r="E231" s="89"/>
      <c r="F231" s="89"/>
      <c r="G231" s="88"/>
      <c r="H231" s="88"/>
      <c r="I231" s="261"/>
      <c r="J231" s="93"/>
      <c r="K231" s="88"/>
      <c r="L231" s="88"/>
    </row>
    <row r="232" spans="2:12" x14ac:dyDescent="0.25">
      <c r="B232" s="88"/>
      <c r="C232" s="89"/>
      <c r="D232" s="89"/>
      <c r="E232" s="89"/>
      <c r="F232" s="89"/>
      <c r="G232" s="88"/>
      <c r="H232" s="88"/>
      <c r="I232" s="261"/>
      <c r="J232" s="93"/>
      <c r="K232" s="88"/>
      <c r="L232" s="88"/>
    </row>
    <row r="233" spans="2:12" x14ac:dyDescent="0.25">
      <c r="B233" s="88"/>
      <c r="C233" s="89"/>
      <c r="D233" s="89"/>
      <c r="E233" s="89"/>
      <c r="F233" s="89"/>
      <c r="G233" s="88"/>
      <c r="H233" s="88"/>
      <c r="I233" s="261"/>
      <c r="J233" s="88"/>
      <c r="K233" s="88"/>
      <c r="L233" s="88"/>
    </row>
    <row r="234" spans="2:12" x14ac:dyDescent="0.25">
      <c r="B234" s="88"/>
      <c r="C234" s="89"/>
      <c r="D234" s="89"/>
      <c r="E234" s="89"/>
      <c r="F234" s="89"/>
      <c r="G234" s="88"/>
      <c r="H234" s="88"/>
      <c r="I234" s="261"/>
      <c r="J234" s="88"/>
      <c r="K234" s="88"/>
      <c r="L234" s="88"/>
    </row>
    <row r="235" spans="2:12" x14ac:dyDescent="0.25">
      <c r="B235" s="88"/>
      <c r="C235" s="89"/>
      <c r="D235" s="89"/>
      <c r="E235" s="89"/>
      <c r="F235" s="89"/>
      <c r="G235" s="88"/>
      <c r="H235" s="88"/>
      <c r="I235" s="261"/>
      <c r="J235" s="88"/>
      <c r="K235" s="88"/>
      <c r="L235" s="88"/>
    </row>
    <row r="236" spans="2:12" x14ac:dyDescent="0.25">
      <c r="B236" s="88"/>
      <c r="C236" s="89"/>
      <c r="D236" s="89"/>
      <c r="E236" s="89"/>
      <c r="F236" s="89"/>
      <c r="G236" s="88"/>
      <c r="H236" s="88"/>
      <c r="I236" s="261"/>
      <c r="J236" s="88"/>
      <c r="K236" s="88"/>
      <c r="L236" s="88"/>
    </row>
    <row r="237" spans="2:12" x14ac:dyDescent="0.25">
      <c r="B237" s="88"/>
      <c r="C237" s="89"/>
      <c r="D237" s="89"/>
      <c r="E237" s="89"/>
      <c r="F237" s="89"/>
      <c r="G237" s="88"/>
      <c r="H237" s="88"/>
      <c r="I237" s="261"/>
      <c r="J237" s="88"/>
      <c r="K237" s="88"/>
      <c r="L237" s="88"/>
    </row>
    <row r="238" spans="2:12" x14ac:dyDescent="0.25">
      <c r="B238" s="88"/>
      <c r="C238" s="89"/>
      <c r="D238" s="89"/>
      <c r="E238" s="89"/>
      <c r="F238" s="89"/>
      <c r="G238" s="88"/>
      <c r="H238" s="88"/>
      <c r="I238" s="261"/>
      <c r="J238" s="88"/>
      <c r="K238" s="88"/>
      <c r="L238" s="88"/>
    </row>
    <row r="239" spans="2:12" x14ac:dyDescent="0.25">
      <c r="B239" s="88"/>
      <c r="C239" s="89"/>
      <c r="D239" s="89"/>
      <c r="E239" s="89"/>
      <c r="F239" s="89"/>
      <c r="G239" s="88"/>
      <c r="H239" s="88"/>
      <c r="I239" s="261"/>
      <c r="J239" s="88"/>
      <c r="K239" s="88"/>
      <c r="L239" s="88"/>
    </row>
    <row r="240" spans="2:12" x14ac:dyDescent="0.25">
      <c r="B240" s="88"/>
      <c r="C240" s="89"/>
      <c r="D240" s="89"/>
      <c r="E240" s="89"/>
      <c r="F240" s="89"/>
      <c r="G240" s="88"/>
      <c r="H240" s="88"/>
      <c r="I240" s="261"/>
      <c r="J240" s="88"/>
      <c r="K240" s="88"/>
      <c r="L240" s="88"/>
    </row>
    <row r="241" spans="2:12" x14ac:dyDescent="0.25">
      <c r="B241" s="88"/>
      <c r="C241" s="89"/>
      <c r="D241" s="89"/>
      <c r="E241" s="89"/>
      <c r="F241" s="89"/>
      <c r="G241" s="88"/>
      <c r="H241" s="88"/>
      <c r="I241" s="261"/>
      <c r="J241" s="88"/>
      <c r="K241" s="88"/>
      <c r="L241" s="88"/>
    </row>
    <row r="242" spans="2:12" x14ac:dyDescent="0.25">
      <c r="B242" s="88"/>
      <c r="C242" s="89"/>
      <c r="D242" s="89"/>
      <c r="E242" s="89"/>
      <c r="F242" s="89"/>
      <c r="G242" s="88"/>
      <c r="H242" s="88"/>
      <c r="I242" s="261"/>
      <c r="J242" s="88"/>
      <c r="K242" s="88"/>
      <c r="L242" s="88"/>
    </row>
    <row r="243" spans="2:12" x14ac:dyDescent="0.25">
      <c r="B243" s="88"/>
      <c r="C243" s="89"/>
      <c r="D243" s="89"/>
      <c r="E243" s="89"/>
      <c r="F243" s="89"/>
      <c r="G243" s="88"/>
      <c r="H243" s="88"/>
      <c r="I243" s="261"/>
      <c r="J243" s="88"/>
      <c r="K243" s="88"/>
      <c r="L243" s="88"/>
    </row>
    <row r="244" spans="2:12" x14ac:dyDescent="0.25">
      <c r="B244" s="88"/>
      <c r="C244" s="89"/>
      <c r="D244" s="89"/>
      <c r="E244" s="89"/>
      <c r="F244" s="89"/>
      <c r="G244" s="88"/>
      <c r="H244" s="88"/>
      <c r="I244" s="261"/>
      <c r="J244" s="88"/>
      <c r="K244" s="88"/>
      <c r="L244" s="88"/>
    </row>
    <row r="245" spans="2:12" ht="15.75" thickBot="1" x14ac:dyDescent="0.3">
      <c r="B245" s="88"/>
      <c r="C245" s="89"/>
      <c r="D245" s="89"/>
      <c r="E245" s="89"/>
      <c r="F245" s="89"/>
      <c r="G245" s="88">
        <f>SUM(G230:G244)</f>
        <v>0</v>
      </c>
      <c r="H245" s="94">
        <f>SUM(H230:H244)</f>
        <v>0</v>
      </c>
      <c r="I245" s="262"/>
      <c r="J245" s="88"/>
      <c r="K245" s="88"/>
      <c r="L245" s="88"/>
    </row>
    <row r="246" spans="2:12" ht="15.75" thickBot="1" x14ac:dyDescent="0.3">
      <c r="B246" s="95"/>
      <c r="C246" s="95"/>
      <c r="D246" s="95"/>
      <c r="E246" s="95"/>
      <c r="F246" s="95"/>
      <c r="G246" s="95"/>
      <c r="H246" s="97" t="s">
        <v>93</v>
      </c>
      <c r="I246" s="98">
        <f>I230+G245-H245</f>
        <v>201</v>
      </c>
      <c r="J246" s="95"/>
      <c r="K246" s="88">
        <f>SUM(K230:K245)</f>
        <v>0</v>
      </c>
      <c r="L246" s="88">
        <f>SUM(L230:L245)</f>
        <v>0</v>
      </c>
    </row>
    <row r="247" spans="2:12" ht="15.75" thickBot="1" x14ac:dyDescent="0.3">
      <c r="B247" s="95"/>
      <c r="C247" s="95"/>
      <c r="D247" s="95"/>
      <c r="E247" s="95"/>
      <c r="F247" s="95"/>
      <c r="G247" s="95"/>
      <c r="H247" s="95" t="s">
        <v>94</v>
      </c>
      <c r="I247" s="98">
        <f>I246+K246+L246</f>
        <v>201</v>
      </c>
      <c r="J247" s="95"/>
      <c r="K247" s="95"/>
      <c r="L247" s="95"/>
    </row>
    <row r="248" spans="2:12" x14ac:dyDescent="0.25"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</row>
  </sheetData>
  <mergeCells count="28">
    <mergeCell ref="I230:I245"/>
    <mergeCell ref="B203:H203"/>
    <mergeCell ref="B204:H204"/>
    <mergeCell ref="I206:I221"/>
    <mergeCell ref="B227:H227"/>
    <mergeCell ref="B228:H228"/>
    <mergeCell ref="B157:H157"/>
    <mergeCell ref="I159:I174"/>
    <mergeCell ref="B180:H180"/>
    <mergeCell ref="B181:H181"/>
    <mergeCell ref="I183:I198"/>
    <mergeCell ref="I111:I126"/>
    <mergeCell ref="B132:H132"/>
    <mergeCell ref="B133:H133"/>
    <mergeCell ref="I135:I150"/>
    <mergeCell ref="B156:H156"/>
    <mergeCell ref="B83:H83"/>
    <mergeCell ref="B84:H84"/>
    <mergeCell ref="I86:I101"/>
    <mergeCell ref="B108:H108"/>
    <mergeCell ref="B109:H109"/>
    <mergeCell ref="I62:I77"/>
    <mergeCell ref="B39:H39"/>
    <mergeCell ref="B38:H38"/>
    <mergeCell ref="B13:K13"/>
    <mergeCell ref="B60:H60"/>
    <mergeCell ref="B59:H59"/>
    <mergeCell ref="F57:G57"/>
  </mergeCells>
  <pageMargins left="0.7" right="0.7" top="0.75" bottom="0.75" header="0.3" footer="0.3"/>
  <pageSetup paperSize="9" scale="8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B2:Y57"/>
  <sheetViews>
    <sheetView zoomScale="77" zoomScaleNormal="77" workbookViewId="0">
      <pane ySplit="5" topLeftCell="A18" activePane="bottomLeft" state="frozen"/>
      <selection pane="bottomLeft" activeCell="I23" sqref="I23"/>
    </sheetView>
  </sheetViews>
  <sheetFormatPr baseColWidth="10" defaultColWidth="9.140625" defaultRowHeight="15" x14ac:dyDescent="0.25"/>
  <cols>
    <col min="1" max="1" width="2.140625" customWidth="1"/>
    <col min="2" max="2" width="16.5703125" customWidth="1"/>
    <col min="3" max="3" width="64.42578125" customWidth="1"/>
    <col min="4" max="6" width="14.140625" customWidth="1"/>
    <col min="7" max="7" width="13.140625" customWidth="1"/>
    <col min="8" max="10" width="14.140625" customWidth="1"/>
    <col min="11" max="11" width="13.140625" customWidth="1"/>
    <col min="12" max="14" width="14.140625" customWidth="1"/>
    <col min="15" max="17" width="13.140625" customWidth="1"/>
    <col min="18" max="21" width="14.140625" customWidth="1"/>
    <col min="22" max="23" width="13.140625" customWidth="1"/>
    <col min="24" max="24" width="16.42578125" customWidth="1"/>
    <col min="25" max="25" width="40.28515625" customWidth="1"/>
  </cols>
  <sheetData>
    <row r="2" spans="2:25" ht="23.25" x14ac:dyDescent="0.35">
      <c r="B2" s="265">
        <v>46235</v>
      </c>
      <c r="C2" s="255"/>
      <c r="D2" s="255"/>
      <c r="E2" s="255"/>
      <c r="F2" s="255"/>
      <c r="G2" s="141"/>
      <c r="M2" s="3"/>
      <c r="N2" s="3"/>
      <c r="O2" s="207" t="s">
        <v>144</v>
      </c>
      <c r="P2" s="207"/>
      <c r="Q2" s="207"/>
      <c r="R2" s="208"/>
      <c r="S2" s="4"/>
      <c r="T2" s="4"/>
      <c r="U2" s="4"/>
      <c r="V2" s="154"/>
      <c r="W2" s="154"/>
      <c r="X2" s="154"/>
      <c r="Y2" s="154"/>
    </row>
    <row r="4" spans="2:25" ht="63" customHeight="1" thickBot="1" x14ac:dyDescent="0.3">
      <c r="B4" s="258" t="s">
        <v>250</v>
      </c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</row>
    <row r="5" spans="2:25" ht="22.5" customHeight="1" thickBot="1" x14ac:dyDescent="0.4">
      <c r="B5" s="60" t="s">
        <v>71</v>
      </c>
      <c r="C5" s="163" t="s">
        <v>1</v>
      </c>
      <c r="D5" s="126">
        <v>4</v>
      </c>
      <c r="E5" s="126">
        <v>5</v>
      </c>
      <c r="F5" s="126">
        <v>6</v>
      </c>
      <c r="G5" s="126">
        <v>7</v>
      </c>
      <c r="H5" s="145">
        <v>10</v>
      </c>
      <c r="I5" s="145">
        <v>11</v>
      </c>
      <c r="J5" s="145">
        <v>12</v>
      </c>
      <c r="K5" s="145">
        <v>13</v>
      </c>
      <c r="L5" s="145">
        <v>14</v>
      </c>
      <c r="M5" s="145" t="s">
        <v>247</v>
      </c>
      <c r="N5" s="145">
        <v>19</v>
      </c>
      <c r="O5" s="145">
        <v>19</v>
      </c>
      <c r="P5" s="145">
        <v>20</v>
      </c>
      <c r="Q5" s="145">
        <v>21</v>
      </c>
      <c r="R5" s="145">
        <v>24</v>
      </c>
      <c r="S5" s="145">
        <v>25</v>
      </c>
      <c r="T5" s="145">
        <v>26</v>
      </c>
      <c r="U5" s="145">
        <v>27</v>
      </c>
      <c r="V5" s="145">
        <v>28</v>
      </c>
      <c r="W5" s="145">
        <v>31</v>
      </c>
      <c r="X5" s="169" t="s">
        <v>124</v>
      </c>
      <c r="Y5" s="202" t="s">
        <v>248</v>
      </c>
    </row>
    <row r="6" spans="2:25" ht="24.75" customHeight="1" x14ac:dyDescent="0.25">
      <c r="B6" s="142">
        <v>3</v>
      </c>
      <c r="C6" s="117" t="s">
        <v>176</v>
      </c>
      <c r="D6" s="148"/>
      <c r="E6" s="191"/>
      <c r="F6" s="191"/>
      <c r="G6" s="192"/>
      <c r="H6" s="146"/>
      <c r="I6" s="146"/>
      <c r="J6" s="146"/>
      <c r="K6" s="146"/>
      <c r="L6" s="146"/>
      <c r="M6" s="197"/>
      <c r="N6" s="194"/>
      <c r="O6" s="194"/>
      <c r="P6" s="194"/>
      <c r="Q6" s="194"/>
      <c r="R6" s="146"/>
      <c r="S6" s="146"/>
      <c r="T6" s="146"/>
      <c r="U6" s="146"/>
      <c r="V6" s="190"/>
      <c r="W6" s="194"/>
      <c r="X6" s="203">
        <f>SUM(D6:W6)</f>
        <v>0</v>
      </c>
      <c r="Y6" s="1"/>
    </row>
    <row r="7" spans="2:25" ht="24.75" customHeight="1" x14ac:dyDescent="0.25">
      <c r="B7" s="142">
        <v>4</v>
      </c>
      <c r="C7" s="117" t="s">
        <v>175</v>
      </c>
      <c r="D7" s="148"/>
      <c r="E7" s="193"/>
      <c r="F7" s="193"/>
      <c r="G7" s="194"/>
      <c r="H7" s="146"/>
      <c r="I7" s="146"/>
      <c r="J7" s="146"/>
      <c r="K7" s="146"/>
      <c r="L7" s="146"/>
      <c r="M7" s="197"/>
      <c r="N7" s="194"/>
      <c r="O7" s="194"/>
      <c r="P7" s="194"/>
      <c r="Q7" s="194"/>
      <c r="R7" s="146"/>
      <c r="S7" s="146"/>
      <c r="T7" s="146"/>
      <c r="U7" s="146"/>
      <c r="V7" s="146"/>
      <c r="W7" s="194"/>
      <c r="X7" s="203">
        <f t="shared" ref="X7:X45" si="0">SUM(D7:W7)</f>
        <v>0</v>
      </c>
      <c r="Y7" s="3"/>
    </row>
    <row r="8" spans="2:25" ht="24.75" customHeight="1" x14ac:dyDescent="0.25">
      <c r="B8" s="11">
        <v>6</v>
      </c>
      <c r="C8" s="3" t="s">
        <v>5</v>
      </c>
      <c r="D8" s="148"/>
      <c r="E8" s="195"/>
      <c r="F8" s="195"/>
      <c r="G8" s="195"/>
      <c r="H8" s="122"/>
      <c r="I8" s="122"/>
      <c r="J8" s="122"/>
      <c r="K8" s="122"/>
      <c r="L8" s="122"/>
      <c r="M8" s="198"/>
      <c r="N8" s="195"/>
      <c r="O8" s="195"/>
      <c r="P8" s="195"/>
      <c r="Q8" s="195"/>
      <c r="R8" s="122"/>
      <c r="S8" s="122"/>
      <c r="T8" s="122"/>
      <c r="U8" s="122"/>
      <c r="V8" s="122"/>
      <c r="W8" s="195"/>
      <c r="X8" s="203">
        <f t="shared" si="0"/>
        <v>0</v>
      </c>
      <c r="Y8" s="3"/>
    </row>
    <row r="9" spans="2:25" ht="24.75" customHeight="1" x14ac:dyDescent="0.25">
      <c r="B9" s="11">
        <v>19</v>
      </c>
      <c r="C9" s="3" t="s">
        <v>42</v>
      </c>
      <c r="D9" s="148"/>
      <c r="E9" s="195"/>
      <c r="F9" s="195"/>
      <c r="G9" s="195"/>
      <c r="H9" s="122"/>
      <c r="I9" s="122"/>
      <c r="J9" s="122"/>
      <c r="K9" s="122"/>
      <c r="L9" s="122"/>
      <c r="M9" s="198"/>
      <c r="N9" s="195"/>
      <c r="O9" s="195"/>
      <c r="P9" s="195"/>
      <c r="Q9" s="195"/>
      <c r="R9" s="122"/>
      <c r="S9" s="122"/>
      <c r="T9" s="122"/>
      <c r="U9" s="122"/>
      <c r="V9" s="122"/>
      <c r="W9" s="195"/>
      <c r="X9" s="203">
        <f t="shared" si="0"/>
        <v>0</v>
      </c>
      <c r="Y9" s="3"/>
    </row>
    <row r="10" spans="2:25" ht="24.75" customHeight="1" x14ac:dyDescent="0.25">
      <c r="B10" s="11">
        <v>31</v>
      </c>
      <c r="C10" s="118" t="s">
        <v>65</v>
      </c>
      <c r="D10" s="148">
        <v>500</v>
      </c>
      <c r="E10" s="195"/>
      <c r="F10" s="195">
        <v>300</v>
      </c>
      <c r="G10" s="195">
        <v>300</v>
      </c>
      <c r="H10" s="122">
        <v>2200</v>
      </c>
      <c r="I10" s="122"/>
      <c r="J10" s="122"/>
      <c r="K10" s="122"/>
      <c r="L10" s="122"/>
      <c r="M10" s="198"/>
      <c r="N10" s="195"/>
      <c r="O10" s="195"/>
      <c r="P10" s="195"/>
      <c r="Q10" s="195"/>
      <c r="R10" s="122"/>
      <c r="S10" s="122"/>
      <c r="T10" s="122"/>
      <c r="U10" s="122"/>
      <c r="V10" s="122"/>
      <c r="W10" s="195"/>
      <c r="X10" s="203">
        <f t="shared" si="0"/>
        <v>3300</v>
      </c>
      <c r="Y10" s="3"/>
    </row>
    <row r="11" spans="2:25" ht="24.75" customHeight="1" x14ac:dyDescent="0.25">
      <c r="B11" s="11">
        <v>38</v>
      </c>
      <c r="C11" s="118" t="s">
        <v>181</v>
      </c>
      <c r="D11" s="148"/>
      <c r="E11" s="195"/>
      <c r="F11" s="195"/>
      <c r="G11" s="195"/>
      <c r="H11" s="122"/>
      <c r="I11" s="122"/>
      <c r="J11" s="122"/>
      <c r="K11" s="122"/>
      <c r="L11" s="122"/>
      <c r="M11" s="198"/>
      <c r="N11" s="195"/>
      <c r="O11" s="195"/>
      <c r="P11" s="195"/>
      <c r="Q11" s="195"/>
      <c r="R11" s="122"/>
      <c r="S11" s="122"/>
      <c r="T11" s="122"/>
      <c r="U11" s="122"/>
      <c r="V11" s="122"/>
      <c r="W11" s="195"/>
      <c r="X11" s="203">
        <f t="shared" si="0"/>
        <v>0</v>
      </c>
      <c r="Y11" s="3"/>
    </row>
    <row r="12" spans="2:25" ht="24.75" customHeight="1" x14ac:dyDescent="0.25">
      <c r="B12" s="11">
        <v>21</v>
      </c>
      <c r="C12" s="189" t="s">
        <v>43</v>
      </c>
      <c r="D12" s="148"/>
      <c r="E12" s="195"/>
      <c r="F12" s="195"/>
      <c r="G12" s="195"/>
      <c r="H12" s="122"/>
      <c r="I12" s="122"/>
      <c r="J12" s="122"/>
      <c r="K12" s="122"/>
      <c r="L12" s="122"/>
      <c r="M12" s="198"/>
      <c r="N12" s="195"/>
      <c r="O12" s="195"/>
      <c r="P12" s="195"/>
      <c r="Q12" s="195"/>
      <c r="R12" s="122"/>
      <c r="S12" s="122"/>
      <c r="T12" s="122"/>
      <c r="U12" s="122"/>
      <c r="V12" s="122"/>
      <c r="W12" s="195"/>
      <c r="X12" s="203">
        <f t="shared" si="0"/>
        <v>0</v>
      </c>
      <c r="Y12" s="3"/>
    </row>
    <row r="13" spans="2:25" ht="24.75" customHeight="1" x14ac:dyDescent="0.25">
      <c r="B13" s="11">
        <v>24</v>
      </c>
      <c r="C13" s="239" t="s">
        <v>44</v>
      </c>
      <c r="D13" s="148"/>
      <c r="E13" s="10"/>
      <c r="F13" s="78"/>
      <c r="G13" s="78"/>
      <c r="H13" s="3"/>
      <c r="I13" s="3"/>
      <c r="J13" s="3"/>
      <c r="K13" s="3"/>
      <c r="L13" s="3"/>
      <c r="M13" s="88"/>
      <c r="N13" s="78"/>
      <c r="O13" s="10"/>
      <c r="P13" s="78"/>
      <c r="Q13" s="78"/>
      <c r="R13" s="3"/>
      <c r="S13" s="3"/>
      <c r="T13" s="52"/>
      <c r="U13" s="3"/>
      <c r="V13" s="3"/>
      <c r="W13" s="78"/>
      <c r="X13" s="203">
        <f t="shared" si="0"/>
        <v>0</v>
      </c>
      <c r="Y13" s="3"/>
    </row>
    <row r="14" spans="2:25" ht="24.75" customHeight="1" x14ac:dyDescent="0.25">
      <c r="B14" s="11" t="s">
        <v>126</v>
      </c>
      <c r="C14" s="240" t="s">
        <v>161</v>
      </c>
      <c r="D14" s="148">
        <v>7.5</v>
      </c>
      <c r="E14" s="78"/>
      <c r="F14" s="78">
        <v>3.9</v>
      </c>
      <c r="G14" s="78"/>
      <c r="H14" s="3"/>
      <c r="I14" s="3"/>
      <c r="J14" s="3"/>
      <c r="K14" s="3"/>
      <c r="L14" s="3"/>
      <c r="M14" s="88"/>
      <c r="N14" s="78"/>
      <c r="O14" s="78"/>
      <c r="P14" s="78"/>
      <c r="Q14" s="78"/>
      <c r="R14" s="3"/>
      <c r="S14" s="3"/>
      <c r="T14" s="3"/>
      <c r="U14" s="3"/>
      <c r="V14" s="3"/>
      <c r="W14" s="78"/>
      <c r="X14" s="203">
        <f t="shared" si="0"/>
        <v>11.4</v>
      </c>
      <c r="Y14" s="3"/>
    </row>
    <row r="15" spans="2:25" ht="24.75" customHeight="1" x14ac:dyDescent="0.25">
      <c r="B15" s="11" t="s">
        <v>127</v>
      </c>
      <c r="C15" s="240" t="s">
        <v>151</v>
      </c>
      <c r="D15" s="148"/>
      <c r="E15" s="78"/>
      <c r="F15" s="78"/>
      <c r="G15" s="78"/>
      <c r="H15" s="3"/>
      <c r="I15" s="3"/>
      <c r="J15" s="3"/>
      <c r="K15" s="3"/>
      <c r="L15" s="3"/>
      <c r="M15" s="88"/>
      <c r="N15" s="78"/>
      <c r="O15" s="78"/>
      <c r="P15" s="78"/>
      <c r="Q15" s="78"/>
      <c r="R15" s="3"/>
      <c r="S15" s="3"/>
      <c r="T15" s="3"/>
      <c r="U15" s="3"/>
      <c r="V15" s="3"/>
      <c r="W15" s="78"/>
      <c r="X15" s="203">
        <f t="shared" si="0"/>
        <v>0</v>
      </c>
      <c r="Y15" s="3"/>
    </row>
    <row r="16" spans="2:25" ht="24.75" customHeight="1" x14ac:dyDescent="0.25">
      <c r="B16" s="11" t="s">
        <v>128</v>
      </c>
      <c r="C16" s="240" t="s">
        <v>160</v>
      </c>
      <c r="D16" s="148"/>
      <c r="E16" s="10"/>
      <c r="F16" s="78"/>
      <c r="G16" s="78"/>
      <c r="H16" s="3"/>
      <c r="I16" s="3"/>
      <c r="J16" s="3"/>
      <c r="K16" s="3"/>
      <c r="L16" s="3"/>
      <c r="M16" s="88"/>
      <c r="N16" s="78"/>
      <c r="O16" s="78"/>
      <c r="P16" s="78"/>
      <c r="Q16" s="78"/>
      <c r="R16" s="3"/>
      <c r="S16" s="3"/>
      <c r="T16" s="3"/>
      <c r="U16" s="3"/>
      <c r="V16" s="3"/>
      <c r="W16" s="78"/>
      <c r="X16" s="203">
        <f t="shared" si="0"/>
        <v>0</v>
      </c>
      <c r="Y16" s="3"/>
    </row>
    <row r="17" spans="2:25" ht="24.75" customHeight="1" x14ac:dyDescent="0.25">
      <c r="B17" s="11" t="s">
        <v>129</v>
      </c>
      <c r="C17" s="240" t="s">
        <v>238</v>
      </c>
      <c r="D17" s="148"/>
      <c r="E17" s="10"/>
      <c r="F17" s="78"/>
      <c r="G17" s="78"/>
      <c r="H17" s="3"/>
      <c r="I17" s="3"/>
      <c r="J17" s="3"/>
      <c r="K17" s="3"/>
      <c r="L17" s="52"/>
      <c r="M17" s="88"/>
      <c r="N17" s="78"/>
      <c r="O17" s="78"/>
      <c r="P17" s="78"/>
      <c r="Q17" s="78"/>
      <c r="R17" s="3"/>
      <c r="S17" s="3"/>
      <c r="T17" s="3"/>
      <c r="U17" s="3"/>
      <c r="V17" s="3"/>
      <c r="W17" s="78"/>
      <c r="X17" s="203">
        <f t="shared" si="0"/>
        <v>0</v>
      </c>
      <c r="Y17" s="3"/>
    </row>
    <row r="18" spans="2:25" ht="24.75" customHeight="1" x14ac:dyDescent="0.25">
      <c r="B18" s="11" t="s">
        <v>239</v>
      </c>
      <c r="C18" s="240" t="s">
        <v>235</v>
      </c>
      <c r="D18" s="148"/>
      <c r="E18" s="10"/>
      <c r="F18" s="78"/>
      <c r="G18" s="78"/>
      <c r="H18" s="3"/>
      <c r="I18" s="3"/>
      <c r="J18" s="3"/>
      <c r="K18" s="3"/>
      <c r="L18" s="3"/>
      <c r="M18" s="88"/>
      <c r="N18" s="78"/>
      <c r="O18" s="78"/>
      <c r="P18" s="78"/>
      <c r="Q18" s="78"/>
      <c r="R18" s="3"/>
      <c r="S18" s="3"/>
      <c r="T18" s="3"/>
      <c r="U18" s="3"/>
      <c r="V18" s="3"/>
      <c r="W18" s="78"/>
      <c r="X18" s="203">
        <f t="shared" si="0"/>
        <v>0</v>
      </c>
      <c r="Y18" s="3"/>
    </row>
    <row r="19" spans="2:25" ht="24.75" customHeight="1" x14ac:dyDescent="0.25">
      <c r="B19" s="11" t="s">
        <v>130</v>
      </c>
      <c r="C19" s="240" t="s">
        <v>163</v>
      </c>
      <c r="D19" s="148"/>
      <c r="E19" s="10"/>
      <c r="F19" s="78"/>
      <c r="G19" s="78"/>
      <c r="H19" s="189"/>
      <c r="I19" s="3"/>
      <c r="J19" s="3"/>
      <c r="K19" s="3"/>
      <c r="L19" s="3"/>
      <c r="M19" s="88"/>
      <c r="N19" s="78"/>
      <c r="O19" s="78"/>
      <c r="P19" s="78"/>
      <c r="Q19" s="78"/>
      <c r="R19" s="3"/>
      <c r="S19" s="3"/>
      <c r="T19" s="3"/>
      <c r="U19" s="3"/>
      <c r="V19" s="3"/>
      <c r="W19" s="78"/>
      <c r="X19" s="203">
        <f t="shared" si="0"/>
        <v>0</v>
      </c>
      <c r="Y19" s="3"/>
    </row>
    <row r="20" spans="2:25" ht="24.75" customHeight="1" x14ac:dyDescent="0.25">
      <c r="B20" s="11" t="s">
        <v>131</v>
      </c>
      <c r="C20" s="240" t="s">
        <v>159</v>
      </c>
      <c r="D20" s="148"/>
      <c r="E20" s="78"/>
      <c r="F20" s="78"/>
      <c r="G20" s="78"/>
      <c r="H20" s="3"/>
      <c r="I20" s="3"/>
      <c r="J20" s="3"/>
      <c r="K20" s="3"/>
      <c r="L20" s="3"/>
      <c r="M20" s="88"/>
      <c r="N20" s="78"/>
      <c r="O20" s="78"/>
      <c r="P20" s="78"/>
      <c r="Q20" s="78"/>
      <c r="R20" s="3"/>
      <c r="S20" s="3"/>
      <c r="T20" s="3"/>
      <c r="U20" s="3"/>
      <c r="V20" s="3"/>
      <c r="W20" s="78"/>
      <c r="X20" s="203">
        <f t="shared" si="0"/>
        <v>0</v>
      </c>
      <c r="Y20" s="3"/>
    </row>
    <row r="21" spans="2:25" ht="24.75" customHeight="1" x14ac:dyDescent="0.25">
      <c r="B21" s="11" t="s">
        <v>236</v>
      </c>
      <c r="C21" s="189" t="s">
        <v>177</v>
      </c>
      <c r="D21" s="148"/>
      <c r="E21" s="78"/>
      <c r="F21" s="78"/>
      <c r="G21" s="78"/>
      <c r="H21" s="3"/>
      <c r="I21" s="3"/>
      <c r="J21" s="3"/>
      <c r="K21" s="3"/>
      <c r="L21" s="3"/>
      <c r="M21" s="88"/>
      <c r="N21" s="78"/>
      <c r="O21" s="78"/>
      <c r="P21" s="78"/>
      <c r="Q21" s="78"/>
      <c r="R21" s="3"/>
      <c r="S21" s="3"/>
      <c r="T21" s="3"/>
      <c r="U21" s="3"/>
      <c r="V21" s="3"/>
      <c r="W21" s="78"/>
      <c r="X21" s="203">
        <f t="shared" si="0"/>
        <v>0</v>
      </c>
      <c r="Y21" s="3"/>
    </row>
    <row r="22" spans="2:25" ht="21.75" customHeight="1" x14ac:dyDescent="0.25">
      <c r="B22" s="11" t="s">
        <v>237</v>
      </c>
      <c r="C22" s="189" t="s">
        <v>162</v>
      </c>
      <c r="D22" s="148"/>
      <c r="E22" s="10"/>
      <c r="F22" s="78"/>
      <c r="G22" s="78"/>
      <c r="H22" s="3"/>
      <c r="I22" s="3">
        <v>2.7</v>
      </c>
      <c r="J22" s="3"/>
      <c r="K22" s="3"/>
      <c r="L22" s="3"/>
      <c r="M22" s="88"/>
      <c r="N22" s="78"/>
      <c r="O22" s="78"/>
      <c r="P22" s="78"/>
      <c r="Q22" s="78"/>
      <c r="R22" s="3"/>
      <c r="S22" s="3"/>
      <c r="T22" s="52"/>
      <c r="U22" s="3"/>
      <c r="V22" s="3"/>
      <c r="W22" s="78"/>
      <c r="X22" s="203">
        <f t="shared" si="0"/>
        <v>2.7</v>
      </c>
      <c r="Y22" s="3"/>
    </row>
    <row r="23" spans="2:25" ht="21" customHeight="1" x14ac:dyDescent="0.25">
      <c r="B23" s="11" t="s">
        <v>219</v>
      </c>
      <c r="C23" s="240" t="s">
        <v>223</v>
      </c>
      <c r="D23" s="148"/>
      <c r="E23" s="10"/>
      <c r="F23" s="78"/>
      <c r="G23" s="78"/>
      <c r="H23" s="3"/>
      <c r="I23" s="3"/>
      <c r="J23" s="3"/>
      <c r="K23" s="3"/>
      <c r="L23" s="3"/>
      <c r="M23" s="88"/>
      <c r="N23" s="78"/>
      <c r="O23" s="78"/>
      <c r="P23" s="78"/>
      <c r="Q23" s="78"/>
      <c r="R23" s="3"/>
      <c r="S23" s="3"/>
      <c r="T23" s="3"/>
      <c r="U23" s="3"/>
      <c r="V23" s="3"/>
      <c r="W23" s="78"/>
      <c r="X23" s="203">
        <f t="shared" si="0"/>
        <v>0</v>
      </c>
      <c r="Y23" s="3"/>
    </row>
    <row r="24" spans="2:25" ht="21" customHeight="1" x14ac:dyDescent="0.25">
      <c r="B24" s="11" t="s">
        <v>268</v>
      </c>
      <c r="C24" s="240" t="s">
        <v>224</v>
      </c>
      <c r="D24" s="148"/>
      <c r="E24" s="78"/>
      <c r="F24" s="78"/>
      <c r="G24" s="78"/>
      <c r="H24" s="3"/>
      <c r="I24" s="3"/>
      <c r="J24" s="3"/>
      <c r="K24" s="3"/>
      <c r="L24" s="3"/>
      <c r="M24" s="88"/>
      <c r="N24" s="78"/>
      <c r="O24" s="78"/>
      <c r="P24" s="78"/>
      <c r="Q24" s="78"/>
      <c r="R24" s="3"/>
      <c r="S24" s="3"/>
      <c r="T24" s="3"/>
      <c r="U24" s="3"/>
      <c r="V24" s="3"/>
      <c r="W24" s="78"/>
      <c r="X24" s="203">
        <f t="shared" ref="X24" si="1">SUM(D24:W24)</f>
        <v>0</v>
      </c>
      <c r="Y24" s="3"/>
    </row>
    <row r="25" spans="2:25" ht="21" customHeight="1" thickBot="1" x14ac:dyDescent="0.3">
      <c r="B25" s="11" t="s">
        <v>266</v>
      </c>
      <c r="C25" s="1" t="s">
        <v>267</v>
      </c>
      <c r="D25" s="148"/>
      <c r="E25" s="78"/>
      <c r="F25" s="78"/>
      <c r="G25" s="78"/>
      <c r="H25" s="3"/>
      <c r="I25" s="3"/>
      <c r="J25" s="3"/>
      <c r="K25" s="3"/>
      <c r="L25" s="3"/>
      <c r="M25" s="88"/>
      <c r="N25" s="78"/>
      <c r="O25" s="78"/>
      <c r="P25" s="78"/>
      <c r="Q25" s="78"/>
      <c r="R25" s="3"/>
      <c r="S25" s="3"/>
      <c r="T25" s="3"/>
      <c r="U25" s="3"/>
      <c r="V25" s="3"/>
      <c r="W25" s="78"/>
      <c r="X25" s="203">
        <f t="shared" si="0"/>
        <v>0</v>
      </c>
      <c r="Y25" s="3"/>
    </row>
    <row r="26" spans="2:25" ht="22.5" customHeight="1" x14ac:dyDescent="0.25">
      <c r="B26" s="200" t="s">
        <v>72</v>
      </c>
      <c r="C26" s="199" t="s">
        <v>246</v>
      </c>
      <c r="D26" s="126">
        <v>4</v>
      </c>
      <c r="E26" s="126">
        <v>5</v>
      </c>
      <c r="F26" s="126">
        <v>6</v>
      </c>
      <c r="G26" s="126">
        <v>7</v>
      </c>
      <c r="H26" s="145">
        <v>10</v>
      </c>
      <c r="I26" s="145">
        <v>11</v>
      </c>
      <c r="J26" s="145">
        <v>12</v>
      </c>
      <c r="K26" s="145">
        <v>13</v>
      </c>
      <c r="L26" s="145">
        <v>14</v>
      </c>
      <c r="M26" s="145" t="s">
        <v>247</v>
      </c>
      <c r="N26" s="145">
        <v>19</v>
      </c>
      <c r="O26" s="145">
        <v>19</v>
      </c>
      <c r="P26" s="145">
        <v>20</v>
      </c>
      <c r="Q26" s="145">
        <v>21</v>
      </c>
      <c r="R26" s="145">
        <v>24</v>
      </c>
      <c r="S26" s="145">
        <v>25</v>
      </c>
      <c r="T26" s="145">
        <v>26</v>
      </c>
      <c r="U26" s="145">
        <v>27</v>
      </c>
      <c r="V26" s="145">
        <v>28</v>
      </c>
      <c r="W26" s="145">
        <v>31</v>
      </c>
      <c r="X26" s="169" t="s">
        <v>124</v>
      </c>
      <c r="Y26" s="3"/>
    </row>
    <row r="27" spans="2:25" ht="19.5" customHeight="1" x14ac:dyDescent="0.25">
      <c r="B27" s="11" t="s">
        <v>132</v>
      </c>
      <c r="C27" s="118" t="s">
        <v>156</v>
      </c>
      <c r="D27" s="148"/>
      <c r="E27" s="78"/>
      <c r="F27" s="78"/>
      <c r="G27" s="78"/>
      <c r="H27" s="3"/>
      <c r="I27" s="3"/>
      <c r="J27" s="3"/>
      <c r="K27" s="3"/>
      <c r="L27" s="3"/>
      <c r="M27" s="88"/>
      <c r="N27" s="78"/>
      <c r="O27" s="78"/>
      <c r="P27" s="78"/>
      <c r="Q27" s="78"/>
      <c r="R27" s="3"/>
      <c r="S27" s="3"/>
      <c r="T27" s="3"/>
      <c r="U27" s="3"/>
      <c r="V27" s="3"/>
      <c r="W27" s="78"/>
      <c r="X27" s="203">
        <f t="shared" si="0"/>
        <v>0</v>
      </c>
      <c r="Y27" s="1"/>
    </row>
    <row r="28" spans="2:25" ht="21.75" customHeight="1" x14ac:dyDescent="0.25">
      <c r="B28" s="11" t="s">
        <v>133</v>
      </c>
      <c r="C28" s="118" t="s">
        <v>154</v>
      </c>
      <c r="D28" s="148"/>
      <c r="E28" s="78"/>
      <c r="F28" s="78"/>
      <c r="G28" s="78"/>
      <c r="H28" s="3"/>
      <c r="I28" s="3"/>
      <c r="J28" s="3"/>
      <c r="K28" s="3"/>
      <c r="L28" s="3"/>
      <c r="M28" s="88"/>
      <c r="N28" s="78"/>
      <c r="O28" s="78"/>
      <c r="P28" s="78"/>
      <c r="Q28" s="78"/>
      <c r="R28" s="3"/>
      <c r="S28" s="3"/>
      <c r="T28" s="3"/>
      <c r="U28" s="3"/>
      <c r="V28" s="3"/>
      <c r="W28" s="78"/>
      <c r="X28" s="203">
        <f t="shared" si="0"/>
        <v>0</v>
      </c>
      <c r="Y28" s="1"/>
    </row>
    <row r="29" spans="2:25" ht="19.5" customHeight="1" x14ac:dyDescent="0.25">
      <c r="B29" s="11" t="s">
        <v>134</v>
      </c>
      <c r="C29" s="118" t="s">
        <v>152</v>
      </c>
      <c r="D29" s="148"/>
      <c r="E29" s="78"/>
      <c r="F29" s="78"/>
      <c r="G29" s="78"/>
      <c r="H29" s="3"/>
      <c r="I29" s="3"/>
      <c r="J29" s="3"/>
      <c r="K29" s="3"/>
      <c r="L29" s="3"/>
      <c r="M29" s="88"/>
      <c r="N29" s="78"/>
      <c r="O29" s="78"/>
      <c r="P29" s="78"/>
      <c r="Q29" s="78"/>
      <c r="R29" s="3"/>
      <c r="S29" s="3"/>
      <c r="T29" s="3"/>
      <c r="U29" s="3"/>
      <c r="V29" s="3"/>
      <c r="W29" s="78"/>
      <c r="X29" s="203">
        <f t="shared" si="0"/>
        <v>0</v>
      </c>
      <c r="Y29" s="1"/>
    </row>
    <row r="30" spans="2:25" ht="19.5" customHeight="1" x14ac:dyDescent="0.25">
      <c r="B30" s="11" t="s">
        <v>135</v>
      </c>
      <c r="C30" s="118" t="s">
        <v>210</v>
      </c>
      <c r="D30" s="148"/>
      <c r="E30" s="78"/>
      <c r="F30" s="78"/>
      <c r="G30" s="78"/>
      <c r="H30" s="3"/>
      <c r="I30" s="3"/>
      <c r="J30" s="3"/>
      <c r="K30" s="3"/>
      <c r="L30" s="3"/>
      <c r="M30" s="88"/>
      <c r="N30" s="78"/>
      <c r="O30" s="78"/>
      <c r="P30" s="78"/>
      <c r="Q30" s="78"/>
      <c r="R30" s="3"/>
      <c r="S30" s="3"/>
      <c r="T30" s="3"/>
      <c r="U30" s="3"/>
      <c r="V30" s="3"/>
      <c r="W30" s="78"/>
      <c r="X30" s="203">
        <f t="shared" si="0"/>
        <v>0</v>
      </c>
      <c r="Y30" s="1"/>
    </row>
    <row r="31" spans="2:25" ht="17.25" customHeight="1" x14ac:dyDescent="0.25">
      <c r="B31" s="11" t="s">
        <v>136</v>
      </c>
      <c r="C31" s="118" t="s">
        <v>155</v>
      </c>
      <c r="D31" s="148"/>
      <c r="E31" s="78"/>
      <c r="F31" s="78"/>
      <c r="G31" s="78"/>
      <c r="H31" s="3"/>
      <c r="I31" s="3"/>
      <c r="J31" s="3"/>
      <c r="K31" s="3"/>
      <c r="L31" s="3"/>
      <c r="M31" s="88"/>
      <c r="N31" s="78"/>
      <c r="O31" s="78"/>
      <c r="P31" s="78"/>
      <c r="Q31" s="78"/>
      <c r="R31" s="3"/>
      <c r="S31" s="3"/>
      <c r="T31" s="3"/>
      <c r="U31" s="3"/>
      <c r="V31" s="3"/>
      <c r="W31" s="78"/>
      <c r="X31" s="203">
        <f t="shared" si="0"/>
        <v>0</v>
      </c>
      <c r="Y31" s="1"/>
    </row>
    <row r="32" spans="2:25" ht="21" customHeight="1" x14ac:dyDescent="0.25">
      <c r="B32" s="11" t="s">
        <v>137</v>
      </c>
      <c r="C32" s="118" t="s">
        <v>158</v>
      </c>
      <c r="D32" s="148"/>
      <c r="E32" s="78"/>
      <c r="F32" s="78"/>
      <c r="G32" s="78"/>
      <c r="H32" s="3"/>
      <c r="I32" s="3"/>
      <c r="J32" s="3"/>
      <c r="K32" s="3"/>
      <c r="L32" s="3"/>
      <c r="M32" s="88"/>
      <c r="N32" s="78"/>
      <c r="O32" s="78"/>
      <c r="P32" s="78"/>
      <c r="Q32" s="78"/>
      <c r="R32" s="3"/>
      <c r="S32" s="3"/>
      <c r="T32" s="3"/>
      <c r="U32" s="3"/>
      <c r="V32" s="3"/>
      <c r="W32" s="78"/>
      <c r="X32" s="203">
        <f t="shared" si="0"/>
        <v>0</v>
      </c>
      <c r="Y32" s="1"/>
    </row>
    <row r="33" spans="2:25" ht="19.5" customHeight="1" x14ac:dyDescent="0.25">
      <c r="B33" s="11" t="s">
        <v>138</v>
      </c>
      <c r="C33" s="118" t="s">
        <v>208</v>
      </c>
      <c r="D33" s="148"/>
      <c r="E33" s="78"/>
      <c r="F33" s="78"/>
      <c r="G33" s="78"/>
      <c r="H33" s="3"/>
      <c r="I33" s="3"/>
      <c r="J33" s="3"/>
      <c r="K33" s="3"/>
      <c r="L33" s="3"/>
      <c r="M33" s="88"/>
      <c r="N33" s="78"/>
      <c r="O33" s="78"/>
      <c r="P33" s="78"/>
      <c r="Q33" s="78"/>
      <c r="R33" s="3"/>
      <c r="S33" s="3"/>
      <c r="T33" s="3"/>
      <c r="U33" s="3"/>
      <c r="V33" s="3"/>
      <c r="W33" s="78"/>
      <c r="X33" s="203">
        <f t="shared" si="0"/>
        <v>0</v>
      </c>
      <c r="Y33" s="1"/>
    </row>
    <row r="34" spans="2:25" ht="18.75" customHeight="1" x14ac:dyDescent="0.25">
      <c r="B34" s="11" t="s">
        <v>139</v>
      </c>
      <c r="C34" s="118" t="s">
        <v>211</v>
      </c>
      <c r="D34" s="78"/>
      <c r="E34" s="78"/>
      <c r="F34" s="78"/>
      <c r="G34" s="78"/>
      <c r="H34" s="3"/>
      <c r="I34" s="3"/>
      <c r="J34" s="3"/>
      <c r="K34" s="3"/>
      <c r="L34" s="3"/>
      <c r="M34" s="88"/>
      <c r="N34" s="78"/>
      <c r="O34" s="78"/>
      <c r="P34" s="78"/>
      <c r="Q34" s="78"/>
      <c r="R34" s="3"/>
      <c r="S34" s="3"/>
      <c r="T34" s="3"/>
      <c r="U34" s="3"/>
      <c r="V34" s="3"/>
      <c r="W34" s="78"/>
      <c r="X34" s="203">
        <f t="shared" si="0"/>
        <v>0</v>
      </c>
      <c r="Y34" s="1"/>
    </row>
    <row r="35" spans="2:25" ht="21.75" customHeight="1" x14ac:dyDescent="0.25">
      <c r="B35" s="11" t="s">
        <v>140</v>
      </c>
      <c r="C35" s="118" t="s">
        <v>153</v>
      </c>
      <c r="D35" s="78"/>
      <c r="E35" s="78"/>
      <c r="F35" s="78"/>
      <c r="G35" s="78"/>
      <c r="H35" s="3"/>
      <c r="I35" s="3"/>
      <c r="J35" s="3"/>
      <c r="K35" s="3"/>
      <c r="L35" s="3"/>
      <c r="M35" s="88"/>
      <c r="N35" s="78"/>
      <c r="O35" s="78"/>
      <c r="P35" s="78"/>
      <c r="Q35" s="78"/>
      <c r="R35" s="3"/>
      <c r="S35" s="3"/>
      <c r="T35" s="3"/>
      <c r="U35" s="3"/>
      <c r="V35" s="3"/>
      <c r="W35" s="78"/>
      <c r="X35" s="203">
        <f t="shared" si="0"/>
        <v>0</v>
      </c>
      <c r="Y35" s="1"/>
    </row>
    <row r="36" spans="2:25" ht="21.75" customHeight="1" x14ac:dyDescent="0.25">
      <c r="B36" s="11" t="s">
        <v>141</v>
      </c>
      <c r="C36" s="118" t="s">
        <v>209</v>
      </c>
      <c r="D36" s="78"/>
      <c r="E36" s="78"/>
      <c r="F36" s="78"/>
      <c r="G36" s="78"/>
      <c r="H36" s="3"/>
      <c r="I36" s="3"/>
      <c r="J36" s="3"/>
      <c r="K36" s="3"/>
      <c r="L36" s="3"/>
      <c r="M36" s="88"/>
      <c r="N36" s="78"/>
      <c r="O36" s="10"/>
      <c r="P36" s="78"/>
      <c r="Q36" s="78"/>
      <c r="R36" s="52"/>
      <c r="S36" s="3"/>
      <c r="T36" s="3"/>
      <c r="U36" s="3"/>
      <c r="V36" s="3"/>
      <c r="W36" s="78"/>
      <c r="X36" s="203">
        <f t="shared" si="0"/>
        <v>0</v>
      </c>
      <c r="Y36" s="1"/>
    </row>
    <row r="37" spans="2:25" ht="21.75" customHeight="1" x14ac:dyDescent="0.25">
      <c r="B37" s="11" t="s">
        <v>142</v>
      </c>
      <c r="C37" s="118" t="s">
        <v>157</v>
      </c>
      <c r="D37" s="78"/>
      <c r="E37" s="78"/>
      <c r="F37" s="78"/>
      <c r="G37" s="78"/>
      <c r="H37" s="3"/>
      <c r="I37" s="3"/>
      <c r="J37" s="3"/>
      <c r="K37" s="3"/>
      <c r="L37" s="3"/>
      <c r="M37" s="88"/>
      <c r="N37" s="78"/>
      <c r="O37" s="10"/>
      <c r="P37" s="78"/>
      <c r="Q37" s="78"/>
      <c r="R37" s="3"/>
      <c r="S37" s="3"/>
      <c r="T37" s="3"/>
      <c r="U37" s="3"/>
      <c r="V37" s="3"/>
      <c r="W37" s="78"/>
      <c r="X37" s="203">
        <f t="shared" si="0"/>
        <v>0</v>
      </c>
      <c r="Y37" s="1"/>
    </row>
    <row r="38" spans="2:25" ht="21.75" customHeight="1" x14ac:dyDescent="0.25">
      <c r="B38" s="11" t="s">
        <v>245</v>
      </c>
      <c r="C38" s="118" t="s">
        <v>244</v>
      </c>
      <c r="D38" s="78"/>
      <c r="E38" s="78"/>
      <c r="F38" s="78"/>
      <c r="G38" s="78"/>
      <c r="H38" s="3"/>
      <c r="I38" s="3"/>
      <c r="J38" s="3"/>
      <c r="K38" s="3"/>
      <c r="L38" s="3"/>
      <c r="M38" s="88"/>
      <c r="N38" s="78"/>
      <c r="O38" s="10"/>
      <c r="P38" s="78"/>
      <c r="Q38" s="78"/>
      <c r="R38" s="3"/>
      <c r="S38" s="3"/>
      <c r="T38" s="3"/>
      <c r="U38" s="3"/>
      <c r="V38" s="3"/>
      <c r="W38" s="78"/>
      <c r="X38" s="203">
        <f t="shared" si="0"/>
        <v>0</v>
      </c>
      <c r="Y38" s="1"/>
    </row>
    <row r="39" spans="2:25" ht="21.75" customHeight="1" x14ac:dyDescent="0.25">
      <c r="B39" s="11" t="s">
        <v>201</v>
      </c>
      <c r="C39" s="118" t="s">
        <v>221</v>
      </c>
      <c r="D39" s="78"/>
      <c r="E39" s="78"/>
      <c r="F39" s="78"/>
      <c r="G39" s="78">
        <v>4.8</v>
      </c>
      <c r="H39" s="3">
        <v>4.2</v>
      </c>
      <c r="I39" s="3">
        <v>6.75</v>
      </c>
      <c r="J39" s="3"/>
      <c r="K39" s="3"/>
      <c r="L39" s="3"/>
      <c r="M39" s="88"/>
      <c r="N39" s="78"/>
      <c r="O39" s="10"/>
      <c r="P39" s="78"/>
      <c r="Q39" s="78"/>
      <c r="R39" s="3"/>
      <c r="S39" s="3"/>
      <c r="T39" s="3"/>
      <c r="U39" s="3"/>
      <c r="V39" s="3"/>
      <c r="W39" s="78"/>
      <c r="X39" s="203">
        <f t="shared" si="0"/>
        <v>15.75</v>
      </c>
      <c r="Y39" s="1"/>
    </row>
    <row r="40" spans="2:25" ht="21.75" customHeight="1" x14ac:dyDescent="0.25">
      <c r="B40" s="11" t="s">
        <v>199</v>
      </c>
      <c r="C40" s="118" t="s">
        <v>222</v>
      </c>
      <c r="D40" s="78"/>
      <c r="E40" s="78"/>
      <c r="F40" s="78"/>
      <c r="G40" s="78"/>
      <c r="H40" s="3"/>
      <c r="I40" s="3"/>
      <c r="J40" s="3"/>
      <c r="K40" s="3"/>
      <c r="L40" s="3"/>
      <c r="M40" s="88"/>
      <c r="N40" s="78"/>
      <c r="O40" s="78"/>
      <c r="P40" s="78"/>
      <c r="Q40" s="78"/>
      <c r="R40" s="3"/>
      <c r="S40" s="3"/>
      <c r="T40" s="3"/>
      <c r="U40" s="3"/>
      <c r="V40" s="3"/>
      <c r="W40" s="78"/>
      <c r="X40" s="203">
        <f t="shared" si="0"/>
        <v>0</v>
      </c>
      <c r="Y40" s="1"/>
    </row>
    <row r="41" spans="2:25" ht="21.75" customHeight="1" x14ac:dyDescent="0.25">
      <c r="B41" s="11" t="s">
        <v>203</v>
      </c>
      <c r="C41" s="171" t="s">
        <v>205</v>
      </c>
      <c r="D41" s="78"/>
      <c r="E41" s="78"/>
      <c r="F41" s="78"/>
      <c r="G41" s="78"/>
      <c r="H41" s="3"/>
      <c r="I41" s="3"/>
      <c r="J41" s="3"/>
      <c r="K41" s="3"/>
      <c r="L41" s="3"/>
      <c r="M41" s="88"/>
      <c r="N41" s="78"/>
      <c r="O41" s="78"/>
      <c r="P41" s="78"/>
      <c r="Q41" s="78"/>
      <c r="R41" s="3"/>
      <c r="S41" s="3"/>
      <c r="T41" s="3"/>
      <c r="U41" s="3"/>
      <c r="V41" s="3"/>
      <c r="W41" s="78"/>
      <c r="X41" s="203">
        <f t="shared" si="0"/>
        <v>0</v>
      </c>
      <c r="Y41" s="1"/>
    </row>
    <row r="42" spans="2:25" ht="21.75" customHeight="1" x14ac:dyDescent="0.25">
      <c r="B42" s="11" t="s">
        <v>206</v>
      </c>
      <c r="C42" s="171" t="s">
        <v>204</v>
      </c>
      <c r="D42" s="78">
        <v>0.15</v>
      </c>
      <c r="E42" s="78"/>
      <c r="F42" s="78"/>
      <c r="G42" s="78"/>
      <c r="H42" s="3"/>
      <c r="I42" s="3"/>
      <c r="J42" s="3"/>
      <c r="K42" s="3"/>
      <c r="L42" s="3"/>
      <c r="M42" s="88"/>
      <c r="N42" s="78"/>
      <c r="O42" s="78"/>
      <c r="P42" s="78"/>
      <c r="Q42" s="78"/>
      <c r="R42" s="3"/>
      <c r="S42" s="3"/>
      <c r="T42" s="3"/>
      <c r="U42" s="3"/>
      <c r="V42" s="3"/>
      <c r="W42" s="78"/>
      <c r="X42" s="203">
        <f t="shared" si="0"/>
        <v>0.15</v>
      </c>
      <c r="Y42" s="1"/>
    </row>
    <row r="43" spans="2:25" ht="21.75" customHeight="1" x14ac:dyDescent="0.25">
      <c r="B43" s="11" t="s">
        <v>230</v>
      </c>
      <c r="C43" s="118" t="s">
        <v>243</v>
      </c>
      <c r="D43" s="78"/>
      <c r="E43" s="78"/>
      <c r="F43" s="78"/>
      <c r="G43" s="78"/>
      <c r="H43" s="3"/>
      <c r="I43" s="3"/>
      <c r="J43" s="3"/>
      <c r="K43" s="3"/>
      <c r="L43" s="3"/>
      <c r="M43" s="88"/>
      <c r="N43" s="78"/>
      <c r="O43" s="78"/>
      <c r="P43" s="78"/>
      <c r="Q43" s="78"/>
      <c r="R43" s="3"/>
      <c r="S43" s="3"/>
      <c r="T43" s="3"/>
      <c r="U43" s="3"/>
      <c r="V43" s="3"/>
      <c r="W43" s="78"/>
      <c r="X43" s="203">
        <f t="shared" si="0"/>
        <v>0</v>
      </c>
      <c r="Y43" s="1"/>
    </row>
    <row r="44" spans="2:25" ht="21.75" customHeight="1" x14ac:dyDescent="0.25">
      <c r="B44" s="11">
        <v>40</v>
      </c>
      <c r="C44" s="118" t="s">
        <v>269</v>
      </c>
      <c r="D44" s="78"/>
      <c r="E44" s="78"/>
      <c r="F44" s="78"/>
      <c r="G44" s="78"/>
      <c r="H44" s="3"/>
      <c r="I44" s="3"/>
      <c r="J44" s="3"/>
      <c r="K44" s="3"/>
      <c r="L44" s="3"/>
      <c r="M44" s="88"/>
      <c r="N44" s="78"/>
      <c r="O44" s="78"/>
      <c r="P44" s="78"/>
      <c r="Q44" s="78"/>
      <c r="R44" s="3"/>
      <c r="S44" s="3"/>
      <c r="T44" s="3"/>
      <c r="U44" s="3"/>
      <c r="V44" s="3"/>
      <c r="W44" s="78"/>
      <c r="X44" s="203">
        <f t="shared" si="0"/>
        <v>0</v>
      </c>
      <c r="Y44" s="1"/>
    </row>
    <row r="45" spans="2:25" ht="21.75" customHeight="1" thickBot="1" x14ac:dyDescent="0.3">
      <c r="B45" s="11">
        <v>41</v>
      </c>
      <c r="C45" s="118" t="s">
        <v>179</v>
      </c>
      <c r="D45" s="78"/>
      <c r="E45" s="78"/>
      <c r="F45" s="78"/>
      <c r="G45" s="78"/>
      <c r="H45" s="3"/>
      <c r="I45" s="3"/>
      <c r="J45" s="3"/>
      <c r="K45" s="3"/>
      <c r="L45" s="3"/>
      <c r="M45" s="88"/>
      <c r="N45" s="78"/>
      <c r="O45" s="78"/>
      <c r="P45" s="78"/>
      <c r="Q45" s="78"/>
      <c r="R45" s="3"/>
      <c r="S45" s="3"/>
      <c r="T45" s="3"/>
      <c r="U45" s="3"/>
      <c r="V45" s="3"/>
      <c r="W45" s="78"/>
      <c r="X45" s="203">
        <f t="shared" si="0"/>
        <v>0</v>
      </c>
      <c r="Y45" s="1"/>
    </row>
    <row r="46" spans="2:25" ht="30" x14ac:dyDescent="0.25">
      <c r="B46" s="200" t="s">
        <v>72</v>
      </c>
      <c r="C46" s="201" t="s">
        <v>122</v>
      </c>
      <c r="D46" s="126">
        <v>4</v>
      </c>
      <c r="E46" s="126">
        <v>5</v>
      </c>
      <c r="F46" s="126">
        <v>6</v>
      </c>
      <c r="G46" s="126">
        <v>7</v>
      </c>
      <c r="H46" s="145">
        <v>10</v>
      </c>
      <c r="I46" s="145">
        <v>11</v>
      </c>
      <c r="J46" s="145">
        <v>12</v>
      </c>
      <c r="K46" s="145">
        <v>13</v>
      </c>
      <c r="L46" s="145">
        <v>14</v>
      </c>
      <c r="M46" s="145" t="s">
        <v>247</v>
      </c>
      <c r="N46" s="145">
        <v>19</v>
      </c>
      <c r="O46" s="145">
        <v>19</v>
      </c>
      <c r="P46" s="145">
        <v>20</v>
      </c>
      <c r="Q46" s="145">
        <v>21</v>
      </c>
      <c r="R46" s="145">
        <v>24</v>
      </c>
      <c r="S46" s="145">
        <v>25</v>
      </c>
      <c r="T46" s="145">
        <v>26</v>
      </c>
      <c r="U46" s="145">
        <v>27</v>
      </c>
      <c r="V46" s="145">
        <v>28</v>
      </c>
      <c r="W46" s="145">
        <v>31</v>
      </c>
      <c r="X46" s="169" t="s">
        <v>124</v>
      </c>
      <c r="Y46" s="1"/>
    </row>
    <row r="47" spans="2:25" ht="27.75" customHeight="1" x14ac:dyDescent="0.25">
      <c r="B47" s="185">
        <v>400</v>
      </c>
      <c r="C47" s="1" t="s">
        <v>166</v>
      </c>
      <c r="D47" s="78"/>
      <c r="E47" s="78"/>
      <c r="F47" s="78"/>
      <c r="G47" s="78"/>
      <c r="H47" s="3"/>
      <c r="I47" s="3"/>
      <c r="J47" s="3"/>
      <c r="K47" s="3"/>
      <c r="L47" s="3"/>
      <c r="M47" s="88"/>
      <c r="N47" s="78"/>
      <c r="O47" s="78"/>
      <c r="P47" s="78"/>
      <c r="Q47" s="78"/>
      <c r="R47" s="3"/>
      <c r="S47" s="3"/>
      <c r="T47" s="3"/>
      <c r="U47" s="3"/>
      <c r="V47" s="3"/>
      <c r="W47" s="78"/>
      <c r="X47" s="203">
        <f>SUM(D47:W47)</f>
        <v>0</v>
      </c>
      <c r="Y47" s="1"/>
    </row>
    <row r="48" spans="2:25" ht="27.75" customHeight="1" x14ac:dyDescent="0.25">
      <c r="B48" s="11">
        <v>401</v>
      </c>
      <c r="C48" s="1" t="s">
        <v>165</v>
      </c>
      <c r="D48" s="78"/>
      <c r="E48" s="78"/>
      <c r="F48" s="78"/>
      <c r="G48" s="78"/>
      <c r="H48" s="3"/>
      <c r="I48" s="3"/>
      <c r="J48" s="3"/>
      <c r="K48" s="3"/>
      <c r="L48" s="3"/>
      <c r="M48" s="88"/>
      <c r="N48" s="78"/>
      <c r="O48" s="78"/>
      <c r="P48" s="78"/>
      <c r="Q48" s="78"/>
      <c r="R48" s="3"/>
      <c r="S48" s="3"/>
      <c r="T48" s="3"/>
      <c r="U48" s="3"/>
      <c r="V48" s="3"/>
      <c r="W48" s="78"/>
      <c r="X48" s="203">
        <f t="shared" ref="X48:X57" si="2">SUM(D48:W48)</f>
        <v>0</v>
      </c>
      <c r="Y48" s="1"/>
    </row>
    <row r="49" spans="2:25" ht="25.5" customHeight="1" x14ac:dyDescent="0.25">
      <c r="B49" s="11">
        <v>402</v>
      </c>
      <c r="C49" s="1" t="s">
        <v>171</v>
      </c>
      <c r="D49" s="78"/>
      <c r="E49" s="78"/>
      <c r="F49" s="78"/>
      <c r="G49" s="78"/>
      <c r="H49" s="3"/>
      <c r="I49" s="3"/>
      <c r="J49" s="3"/>
      <c r="K49" s="3"/>
      <c r="L49" s="3"/>
      <c r="M49" s="88"/>
      <c r="N49" s="78"/>
      <c r="O49" s="78"/>
      <c r="P49" s="78"/>
      <c r="Q49" s="78"/>
      <c r="R49" s="3"/>
      <c r="S49" s="3"/>
      <c r="T49" s="3"/>
      <c r="U49" s="3"/>
      <c r="V49" s="3"/>
      <c r="W49" s="78"/>
      <c r="X49" s="203">
        <f t="shared" si="2"/>
        <v>0</v>
      </c>
      <c r="Y49" s="1"/>
    </row>
    <row r="50" spans="2:25" ht="25.5" customHeight="1" x14ac:dyDescent="0.25">
      <c r="B50" s="11">
        <v>403</v>
      </c>
      <c r="C50" s="1" t="s">
        <v>172</v>
      </c>
      <c r="D50" s="78"/>
      <c r="E50" s="78"/>
      <c r="F50" s="78"/>
      <c r="G50" s="78"/>
      <c r="H50" s="3"/>
      <c r="I50" s="3"/>
      <c r="J50" s="3"/>
      <c r="K50" s="3"/>
      <c r="L50" s="3"/>
      <c r="M50" s="88"/>
      <c r="N50" s="78"/>
      <c r="O50" s="78"/>
      <c r="P50" s="78"/>
      <c r="Q50" s="78"/>
      <c r="R50" s="3"/>
      <c r="S50" s="3"/>
      <c r="T50" s="3"/>
      <c r="U50" s="3"/>
      <c r="V50" s="3"/>
      <c r="W50" s="78"/>
      <c r="X50" s="203">
        <f t="shared" si="2"/>
        <v>0</v>
      </c>
      <c r="Y50" s="1"/>
    </row>
    <row r="51" spans="2:25" ht="25.5" customHeight="1" x14ac:dyDescent="0.25">
      <c r="B51" s="11">
        <v>404</v>
      </c>
      <c r="C51" s="1" t="s">
        <v>173</v>
      </c>
      <c r="D51" s="78"/>
      <c r="E51" s="78"/>
      <c r="F51" s="78"/>
      <c r="G51" s="78"/>
      <c r="H51" s="3"/>
      <c r="I51" s="3"/>
      <c r="J51" s="3"/>
      <c r="K51" s="52"/>
      <c r="L51" s="3"/>
      <c r="M51" s="88"/>
      <c r="N51" s="78"/>
      <c r="O51" s="78"/>
      <c r="P51" s="78"/>
      <c r="Q51" s="78"/>
      <c r="R51" s="3"/>
      <c r="S51" s="3"/>
      <c r="T51" s="3"/>
      <c r="U51" s="3"/>
      <c r="V51" s="3"/>
      <c r="W51" s="78"/>
      <c r="X51" s="203">
        <f t="shared" si="2"/>
        <v>0</v>
      </c>
      <c r="Y51" s="1"/>
    </row>
    <row r="52" spans="2:25" ht="25.5" customHeight="1" x14ac:dyDescent="0.25">
      <c r="B52" s="11">
        <v>405</v>
      </c>
      <c r="C52" s="1" t="s">
        <v>174</v>
      </c>
      <c r="D52" s="78"/>
      <c r="E52" s="78"/>
      <c r="F52" s="78"/>
      <c r="G52" s="78"/>
      <c r="H52" s="3"/>
      <c r="I52" s="3"/>
      <c r="J52" s="3"/>
      <c r="K52" s="52"/>
      <c r="L52" s="3"/>
      <c r="M52" s="88"/>
      <c r="N52" s="78"/>
      <c r="O52" s="78"/>
      <c r="P52" s="78"/>
      <c r="Q52" s="78"/>
      <c r="R52" s="3"/>
      <c r="S52" s="3"/>
      <c r="T52" s="3"/>
      <c r="U52" s="3"/>
      <c r="V52" s="3"/>
      <c r="W52" s="78"/>
      <c r="X52" s="203">
        <f t="shared" si="2"/>
        <v>0</v>
      </c>
      <c r="Y52" s="1"/>
    </row>
    <row r="53" spans="2:25" ht="25.5" customHeight="1" x14ac:dyDescent="0.25">
      <c r="B53" s="11">
        <v>406</v>
      </c>
      <c r="C53" s="1" t="s">
        <v>190</v>
      </c>
      <c r="D53" s="78"/>
      <c r="E53" s="78"/>
      <c r="F53" s="78"/>
      <c r="G53" s="78"/>
      <c r="H53" s="3"/>
      <c r="I53" s="3"/>
      <c r="J53" s="3"/>
      <c r="K53" s="52"/>
      <c r="L53" s="3"/>
      <c r="M53" s="88"/>
      <c r="N53" s="78"/>
      <c r="O53" s="78"/>
      <c r="P53" s="78"/>
      <c r="Q53" s="78"/>
      <c r="R53" s="3"/>
      <c r="S53" s="3"/>
      <c r="T53" s="3"/>
      <c r="U53" s="3"/>
      <c r="V53" s="3"/>
      <c r="W53" s="78"/>
      <c r="X53" s="203">
        <f t="shared" si="2"/>
        <v>0</v>
      </c>
      <c r="Y53" s="1"/>
    </row>
    <row r="54" spans="2:25" ht="25.5" customHeight="1" x14ac:dyDescent="0.25">
      <c r="B54" s="186">
        <v>407</v>
      </c>
      <c r="C54" s="173" t="s">
        <v>191</v>
      </c>
      <c r="D54" s="78"/>
      <c r="E54" s="78"/>
      <c r="F54" s="78"/>
      <c r="G54" s="78"/>
      <c r="H54" s="3"/>
      <c r="I54" s="3"/>
      <c r="J54" s="3"/>
      <c r="K54" s="52"/>
      <c r="L54" s="3"/>
      <c r="M54" s="88"/>
      <c r="N54" s="78"/>
      <c r="O54" s="78"/>
      <c r="P54" s="78"/>
      <c r="Q54" s="78"/>
      <c r="R54" s="3"/>
      <c r="S54" s="3"/>
      <c r="T54" s="3"/>
      <c r="U54" s="3"/>
      <c r="V54" s="3"/>
      <c r="W54" s="78"/>
      <c r="X54" s="203">
        <f t="shared" si="2"/>
        <v>0</v>
      </c>
      <c r="Y54" s="1"/>
    </row>
    <row r="55" spans="2:25" ht="25.5" customHeight="1" x14ac:dyDescent="0.25">
      <c r="B55" s="186">
        <v>408</v>
      </c>
      <c r="C55" s="173" t="s">
        <v>198</v>
      </c>
      <c r="D55" s="196"/>
      <c r="E55" s="196"/>
      <c r="F55" s="196"/>
      <c r="G55" s="196"/>
      <c r="H55" s="46"/>
      <c r="I55" s="46"/>
      <c r="J55" s="46"/>
      <c r="K55" s="182"/>
      <c r="L55" s="46"/>
      <c r="M55" s="94"/>
      <c r="N55" s="196"/>
      <c r="O55" s="196"/>
      <c r="P55" s="196"/>
      <c r="Q55" s="196"/>
      <c r="R55" s="46"/>
      <c r="S55" s="46"/>
      <c r="T55" s="46"/>
      <c r="U55" s="46"/>
      <c r="V55" s="46"/>
      <c r="W55" s="196"/>
      <c r="X55" s="204">
        <f t="shared" si="2"/>
        <v>0</v>
      </c>
      <c r="Y55" s="173"/>
    </row>
    <row r="56" spans="2:25" s="5" customFormat="1" ht="25.5" customHeight="1" x14ac:dyDescent="0.25">
      <c r="B56" s="11">
        <v>409</v>
      </c>
      <c r="C56" s="1" t="s">
        <v>227</v>
      </c>
      <c r="D56" s="78"/>
      <c r="E56" s="78"/>
      <c r="F56" s="78"/>
      <c r="G56" s="78"/>
      <c r="H56" s="3"/>
      <c r="I56" s="3"/>
      <c r="J56" s="3"/>
      <c r="K56" s="52"/>
      <c r="L56" s="3"/>
      <c r="M56" s="88"/>
      <c r="N56" s="78"/>
      <c r="O56" s="78"/>
      <c r="P56" s="78"/>
      <c r="Q56" s="78"/>
      <c r="R56" s="3"/>
      <c r="S56" s="3"/>
      <c r="T56" s="3"/>
      <c r="U56" s="3"/>
      <c r="V56" s="3"/>
      <c r="W56" s="78"/>
      <c r="X56" s="52">
        <f t="shared" si="2"/>
        <v>0</v>
      </c>
      <c r="Y56" s="1"/>
    </row>
    <row r="57" spans="2:25" s="5" customFormat="1" ht="25.5" customHeight="1" x14ac:dyDescent="0.25">
      <c r="B57" s="142">
        <v>410</v>
      </c>
      <c r="C57" s="35" t="s">
        <v>233</v>
      </c>
      <c r="D57" s="48"/>
      <c r="E57" s="48"/>
      <c r="F57" s="48"/>
      <c r="G57" s="48"/>
      <c r="H57" s="117"/>
      <c r="I57" s="117"/>
      <c r="J57" s="117"/>
      <c r="K57" s="122"/>
      <c r="L57" s="117"/>
      <c r="M57" s="205"/>
      <c r="N57" s="48"/>
      <c r="O57" s="48"/>
      <c r="P57" s="48"/>
      <c r="Q57" s="48"/>
      <c r="R57" s="117"/>
      <c r="S57" s="117"/>
      <c r="T57" s="117"/>
      <c r="U57" s="117"/>
      <c r="V57" s="117"/>
      <c r="W57" s="48"/>
      <c r="X57" s="206">
        <f t="shared" si="2"/>
        <v>0</v>
      </c>
      <c r="Y57" s="35"/>
    </row>
  </sheetData>
  <mergeCells count="2">
    <mergeCell ref="B2:F2"/>
    <mergeCell ref="B4:Y4"/>
  </mergeCells>
  <pageMargins left="0.7" right="0.7" top="0.75" bottom="0.75" header="0.3" footer="0.3"/>
  <pageSetup paperSize="9" fitToHeight="0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02"/>
  <sheetViews>
    <sheetView topLeftCell="A161" zoomScale="90" zoomScaleNormal="90" workbookViewId="0">
      <selection activeCell="G169" sqref="G169"/>
    </sheetView>
  </sheetViews>
  <sheetFormatPr baseColWidth="10" defaultRowHeight="15" x14ac:dyDescent="0.25"/>
  <cols>
    <col min="1" max="1" width="6.5703125" customWidth="1"/>
    <col min="2" max="2" width="17.140625" customWidth="1"/>
    <col min="3" max="3" width="15.7109375" customWidth="1"/>
    <col min="4" max="4" width="12.5703125" customWidth="1"/>
    <col min="5" max="5" width="15.42578125" customWidth="1"/>
    <col min="6" max="6" width="14.85546875" customWidth="1"/>
    <col min="7" max="7" width="10.85546875" customWidth="1"/>
    <col min="8" max="8" width="17.28515625" customWidth="1"/>
    <col min="9" max="9" width="34" customWidth="1"/>
    <col min="11" max="11" width="25.5703125" customWidth="1"/>
    <col min="12" max="12" width="25.42578125" customWidth="1"/>
    <col min="13" max="13" width="47.140625" customWidth="1"/>
    <col min="14" max="14" width="24.42578125" customWidth="1"/>
    <col min="16" max="16" width="32.42578125" customWidth="1"/>
  </cols>
  <sheetData>
    <row r="2" spans="2:13" ht="15.75" thickBot="1" x14ac:dyDescent="0.3">
      <c r="B2" s="5"/>
      <c r="C2" s="62"/>
      <c r="D2" s="63"/>
      <c r="E2" s="63"/>
      <c r="F2" s="63"/>
      <c r="G2" s="62"/>
      <c r="H2" s="63"/>
      <c r="I2" s="63"/>
    </row>
    <row r="3" spans="2:13" ht="45.75" customHeight="1" thickBot="1" x14ac:dyDescent="0.3">
      <c r="B3" s="273" t="s">
        <v>161</v>
      </c>
      <c r="C3" s="274"/>
      <c r="D3" s="274"/>
      <c r="E3" s="274"/>
      <c r="F3" s="274"/>
      <c r="G3" s="274"/>
      <c r="H3" s="274"/>
      <c r="I3" s="1" t="s">
        <v>218</v>
      </c>
      <c r="K3" s="232">
        <v>46238</v>
      </c>
      <c r="L3" s="233"/>
      <c r="M3" s="234"/>
    </row>
    <row r="4" spans="2:13" ht="15.75" thickBot="1" x14ac:dyDescent="0.3">
      <c r="B4" s="1" t="s">
        <v>63</v>
      </c>
      <c r="C4" s="78" t="s">
        <v>67</v>
      </c>
      <c r="D4" s="1" t="s">
        <v>70</v>
      </c>
      <c r="E4" s="34" t="s">
        <v>86</v>
      </c>
      <c r="F4" s="34" t="s">
        <v>123</v>
      </c>
      <c r="G4" s="34" t="s">
        <v>83</v>
      </c>
      <c r="H4" s="176"/>
      <c r="I4" s="1"/>
      <c r="K4" s="256" t="s">
        <v>256</v>
      </c>
      <c r="L4" s="257"/>
      <c r="M4" s="269"/>
    </row>
    <row r="5" spans="2:13" x14ac:dyDescent="0.25">
      <c r="B5" s="65" t="s">
        <v>82</v>
      </c>
      <c r="C5" s="119" t="s">
        <v>68</v>
      </c>
      <c r="D5" s="66"/>
      <c r="E5" s="66"/>
      <c r="F5" s="34"/>
      <c r="G5" s="34">
        <f>F5*0.08</f>
        <v>0</v>
      </c>
      <c r="H5" s="176">
        <f t="shared" ref="H5:H27" si="0">G5*D5</f>
        <v>0</v>
      </c>
      <c r="I5" s="1"/>
      <c r="K5" s="270" t="s">
        <v>257</v>
      </c>
      <c r="L5" s="271"/>
      <c r="M5" s="272"/>
    </row>
    <row r="6" spans="2:13" x14ac:dyDescent="0.25">
      <c r="B6" s="64" t="s">
        <v>87</v>
      </c>
      <c r="C6" s="50"/>
      <c r="D6" s="50"/>
      <c r="E6" s="50"/>
      <c r="F6" s="34"/>
      <c r="G6" s="34">
        <f t="shared" ref="G6:G26" si="1">F6*0.08</f>
        <v>0</v>
      </c>
      <c r="H6" s="176">
        <f t="shared" si="0"/>
        <v>0</v>
      </c>
      <c r="I6" s="1"/>
      <c r="K6" s="218" t="s">
        <v>258</v>
      </c>
      <c r="L6" s="1" t="s">
        <v>168</v>
      </c>
      <c r="M6" s="235" t="s">
        <v>259</v>
      </c>
    </row>
    <row r="7" spans="2:13" x14ac:dyDescent="0.25">
      <c r="B7" s="47">
        <v>46240</v>
      </c>
      <c r="C7" s="74">
        <v>221</v>
      </c>
      <c r="D7" s="34">
        <v>0.15</v>
      </c>
      <c r="E7" s="34">
        <f>C7*D7</f>
        <v>33.15</v>
      </c>
      <c r="F7" s="34"/>
      <c r="G7" s="34">
        <f t="shared" si="1"/>
        <v>0</v>
      </c>
      <c r="H7" s="176">
        <f t="shared" si="0"/>
        <v>0</v>
      </c>
      <c r="I7" s="1"/>
      <c r="K7" s="219"/>
      <c r="L7" s="1" t="s">
        <v>168</v>
      </c>
      <c r="M7" s="236" t="s">
        <v>161</v>
      </c>
    </row>
    <row r="8" spans="2:13" ht="30" x14ac:dyDescent="0.25">
      <c r="B8" s="47"/>
      <c r="C8" s="74">
        <v>1</v>
      </c>
      <c r="D8" s="34">
        <v>0.02</v>
      </c>
      <c r="E8" s="34">
        <f t="shared" ref="E8:E9" si="2">C8*D8</f>
        <v>0.02</v>
      </c>
      <c r="F8" s="175"/>
      <c r="G8" s="34">
        <f>F8*0.15</f>
        <v>0</v>
      </c>
      <c r="H8" s="176">
        <f t="shared" si="0"/>
        <v>0</v>
      </c>
      <c r="I8" s="1"/>
      <c r="K8" s="220"/>
      <c r="L8" s="1" t="s">
        <v>168</v>
      </c>
      <c r="M8" s="236" t="s">
        <v>260</v>
      </c>
    </row>
    <row r="9" spans="2:13" x14ac:dyDescent="0.25">
      <c r="B9" s="47"/>
      <c r="C9" s="74"/>
      <c r="D9" s="34">
        <v>0.15</v>
      </c>
      <c r="E9" s="34">
        <f t="shared" si="2"/>
        <v>0</v>
      </c>
      <c r="F9" s="34"/>
      <c r="G9" s="34">
        <f>F9*0.15</f>
        <v>0</v>
      </c>
      <c r="H9" s="176">
        <f t="shared" si="0"/>
        <v>0</v>
      </c>
      <c r="I9" s="1"/>
      <c r="K9" s="221"/>
      <c r="L9" s="1" t="s">
        <v>226</v>
      </c>
      <c r="M9" s="237" t="s">
        <v>220</v>
      </c>
    </row>
    <row r="10" spans="2:13" x14ac:dyDescent="0.25">
      <c r="B10" s="47"/>
      <c r="C10" s="74"/>
      <c r="D10" s="34">
        <v>0.15</v>
      </c>
      <c r="E10" s="34">
        <f t="shared" ref="E10:E24" si="3">C10*D10</f>
        <v>0</v>
      </c>
      <c r="F10" s="34"/>
      <c r="G10" s="34">
        <f t="shared" ref="G10:G18" si="4">F10*0.15</f>
        <v>0</v>
      </c>
      <c r="H10" s="176">
        <f t="shared" si="0"/>
        <v>0</v>
      </c>
      <c r="I10" s="1"/>
      <c r="K10" s="222"/>
      <c r="L10" s="1" t="s">
        <v>168</v>
      </c>
      <c r="M10" s="237" t="s">
        <v>162</v>
      </c>
    </row>
    <row r="11" spans="2:13" x14ac:dyDescent="0.25">
      <c r="B11" s="47"/>
      <c r="C11" s="74"/>
      <c r="D11" s="34">
        <v>0.05</v>
      </c>
      <c r="E11" s="34">
        <f t="shared" si="3"/>
        <v>0</v>
      </c>
      <c r="F11" s="34"/>
      <c r="G11" s="34">
        <f t="shared" si="4"/>
        <v>0</v>
      </c>
      <c r="H11" s="176">
        <f t="shared" si="0"/>
        <v>0</v>
      </c>
      <c r="I11" s="1"/>
      <c r="K11" s="223"/>
      <c r="L11" s="1" t="s">
        <v>168</v>
      </c>
      <c r="M11" s="237" t="s">
        <v>261</v>
      </c>
    </row>
    <row r="12" spans="2:13" x14ac:dyDescent="0.25">
      <c r="B12" s="47"/>
      <c r="C12" s="74"/>
      <c r="D12" s="34">
        <v>0.15</v>
      </c>
      <c r="E12" s="34">
        <f t="shared" si="3"/>
        <v>0</v>
      </c>
      <c r="F12" s="34"/>
      <c r="G12" s="34">
        <f t="shared" si="4"/>
        <v>0</v>
      </c>
      <c r="H12" s="176">
        <f t="shared" si="0"/>
        <v>0</v>
      </c>
      <c r="I12" s="1"/>
      <c r="K12" s="224"/>
      <c r="L12" s="1" t="s">
        <v>226</v>
      </c>
      <c r="M12" s="237" t="s">
        <v>221</v>
      </c>
    </row>
    <row r="13" spans="2:13" x14ac:dyDescent="0.25">
      <c r="B13" s="47"/>
      <c r="C13" s="74"/>
      <c r="D13" s="34">
        <v>0.15</v>
      </c>
      <c r="E13" s="34">
        <f t="shared" si="3"/>
        <v>0</v>
      </c>
      <c r="F13" s="34"/>
      <c r="G13" s="34">
        <f t="shared" si="4"/>
        <v>0</v>
      </c>
      <c r="H13" s="176">
        <f t="shared" si="0"/>
        <v>0</v>
      </c>
      <c r="I13" s="1"/>
      <c r="K13" s="225"/>
      <c r="L13" s="1" t="s">
        <v>226</v>
      </c>
      <c r="M13" s="235" t="s">
        <v>262</v>
      </c>
    </row>
    <row r="14" spans="2:13" x14ac:dyDescent="0.25">
      <c r="B14" s="47"/>
      <c r="C14" s="74"/>
      <c r="D14" s="34">
        <v>0.15</v>
      </c>
      <c r="E14" s="34">
        <f t="shared" si="3"/>
        <v>0</v>
      </c>
      <c r="F14" s="34"/>
      <c r="G14" s="34">
        <f t="shared" si="4"/>
        <v>0</v>
      </c>
      <c r="H14" s="176">
        <f t="shared" si="0"/>
        <v>0</v>
      </c>
      <c r="I14" s="1"/>
      <c r="K14" s="226"/>
      <c r="L14" s="1" t="s">
        <v>263</v>
      </c>
      <c r="M14" s="237" t="s">
        <v>163</v>
      </c>
    </row>
    <row r="15" spans="2:13" x14ac:dyDescent="0.25">
      <c r="B15" s="47"/>
      <c r="C15" s="74"/>
      <c r="D15" s="34">
        <v>0.15</v>
      </c>
      <c r="E15" s="34">
        <f t="shared" si="3"/>
        <v>0</v>
      </c>
      <c r="F15" s="34"/>
      <c r="G15" s="34">
        <f t="shared" si="4"/>
        <v>0</v>
      </c>
      <c r="H15" s="176">
        <f t="shared" si="0"/>
        <v>0</v>
      </c>
      <c r="I15" s="1"/>
      <c r="K15" s="227"/>
      <c r="L15" s="1" t="s">
        <v>264</v>
      </c>
      <c r="M15" s="237" t="s">
        <v>222</v>
      </c>
    </row>
    <row r="16" spans="2:13" x14ac:dyDescent="0.25">
      <c r="B16" s="47"/>
      <c r="C16" s="74"/>
      <c r="D16" s="34">
        <v>0.15</v>
      </c>
      <c r="E16" s="34">
        <f t="shared" si="3"/>
        <v>0</v>
      </c>
      <c r="F16" s="34"/>
      <c r="G16" s="34">
        <f t="shared" si="4"/>
        <v>0</v>
      </c>
      <c r="H16" s="176">
        <f t="shared" si="0"/>
        <v>0</v>
      </c>
      <c r="I16" s="1"/>
      <c r="K16" s="228"/>
      <c r="L16" s="1" t="s">
        <v>168</v>
      </c>
      <c r="M16" s="237" t="s">
        <v>159</v>
      </c>
    </row>
    <row r="17" spans="2:13" x14ac:dyDescent="0.25">
      <c r="B17" s="47"/>
      <c r="C17" s="74"/>
      <c r="D17" s="34">
        <v>0.15</v>
      </c>
      <c r="E17" s="34">
        <f t="shared" si="3"/>
        <v>0</v>
      </c>
      <c r="F17" s="34"/>
      <c r="G17" s="34">
        <f t="shared" si="4"/>
        <v>0</v>
      </c>
      <c r="H17" s="176">
        <f t="shared" si="0"/>
        <v>0</v>
      </c>
      <c r="I17" s="1"/>
      <c r="K17" s="229"/>
      <c r="L17" s="1" t="s">
        <v>265</v>
      </c>
      <c r="M17" s="237" t="s">
        <v>224</v>
      </c>
    </row>
    <row r="18" spans="2:13" ht="15.75" thickBot="1" x14ac:dyDescent="0.3">
      <c r="B18" s="47"/>
      <c r="C18" s="74"/>
      <c r="D18" s="34">
        <v>0.15</v>
      </c>
      <c r="E18" s="34">
        <f t="shared" si="3"/>
        <v>0</v>
      </c>
      <c r="F18" s="34"/>
      <c r="G18" s="34">
        <f t="shared" si="4"/>
        <v>0</v>
      </c>
      <c r="H18" s="176">
        <f t="shared" si="0"/>
        <v>0</v>
      </c>
      <c r="I18" s="1"/>
      <c r="K18" s="230"/>
      <c r="L18" s="231" t="s">
        <v>226</v>
      </c>
      <c r="M18" s="238" t="s">
        <v>223</v>
      </c>
    </row>
    <row r="19" spans="2:13" x14ac:dyDescent="0.25">
      <c r="B19" s="47"/>
      <c r="C19" s="74"/>
      <c r="D19" s="34">
        <v>0.15</v>
      </c>
      <c r="E19" s="34">
        <f t="shared" si="3"/>
        <v>0</v>
      </c>
      <c r="F19" s="34"/>
      <c r="G19" s="34">
        <f>F19*0.15</f>
        <v>0</v>
      </c>
      <c r="H19" s="176">
        <f t="shared" si="0"/>
        <v>0</v>
      </c>
      <c r="I19" s="1"/>
    </row>
    <row r="20" spans="2:13" x14ac:dyDescent="0.25">
      <c r="B20" s="47"/>
      <c r="C20" s="74"/>
      <c r="D20" s="34">
        <v>0.15</v>
      </c>
      <c r="E20" s="34">
        <f t="shared" si="3"/>
        <v>0</v>
      </c>
      <c r="F20" s="34"/>
      <c r="G20" s="34">
        <f t="shared" si="1"/>
        <v>0</v>
      </c>
      <c r="H20" s="176">
        <f t="shared" si="0"/>
        <v>0</v>
      </c>
      <c r="I20" s="1"/>
    </row>
    <row r="21" spans="2:13" x14ac:dyDescent="0.25">
      <c r="B21" s="47"/>
      <c r="C21" s="74"/>
      <c r="D21" s="34">
        <v>0.15</v>
      </c>
      <c r="E21" s="34">
        <f t="shared" si="3"/>
        <v>0</v>
      </c>
      <c r="F21" s="34"/>
      <c r="G21" s="34">
        <f t="shared" si="1"/>
        <v>0</v>
      </c>
      <c r="H21" s="176">
        <f t="shared" si="0"/>
        <v>0</v>
      </c>
      <c r="I21" s="1"/>
    </row>
    <row r="22" spans="2:13" x14ac:dyDescent="0.25">
      <c r="B22" s="47"/>
      <c r="C22" s="74"/>
      <c r="D22" s="34">
        <v>0.15</v>
      </c>
      <c r="E22" s="34">
        <f t="shared" si="3"/>
        <v>0</v>
      </c>
      <c r="F22" s="34"/>
      <c r="G22" s="34">
        <f t="shared" si="1"/>
        <v>0</v>
      </c>
      <c r="H22" s="176">
        <f t="shared" si="0"/>
        <v>0</v>
      </c>
      <c r="I22" s="1"/>
    </row>
    <row r="23" spans="2:13" x14ac:dyDescent="0.25">
      <c r="B23" s="47"/>
      <c r="C23" s="74"/>
      <c r="D23" s="34">
        <v>0.15</v>
      </c>
      <c r="E23" s="34">
        <f t="shared" si="3"/>
        <v>0</v>
      </c>
      <c r="F23" s="34"/>
      <c r="G23" s="34">
        <f t="shared" si="1"/>
        <v>0</v>
      </c>
      <c r="H23" s="176">
        <f t="shared" si="0"/>
        <v>0</v>
      </c>
      <c r="I23" s="1"/>
    </row>
    <row r="24" spans="2:13" x14ac:dyDescent="0.25">
      <c r="B24" s="47"/>
      <c r="C24" s="74"/>
      <c r="D24" s="34">
        <v>0.15</v>
      </c>
      <c r="E24" s="34">
        <f t="shared" si="3"/>
        <v>0</v>
      </c>
      <c r="F24" s="34"/>
      <c r="G24" s="34">
        <f t="shared" si="1"/>
        <v>0</v>
      </c>
      <c r="H24" s="176">
        <f t="shared" si="0"/>
        <v>0</v>
      </c>
      <c r="I24" s="1"/>
    </row>
    <row r="25" spans="2:13" x14ac:dyDescent="0.25">
      <c r="B25" s="47"/>
      <c r="C25" s="74"/>
      <c r="D25" s="34">
        <v>0.15</v>
      </c>
      <c r="E25" s="34">
        <f>C25*D25</f>
        <v>0</v>
      </c>
      <c r="F25" s="34"/>
      <c r="G25" s="34">
        <f t="shared" si="1"/>
        <v>0</v>
      </c>
      <c r="H25" s="176">
        <f t="shared" si="0"/>
        <v>0</v>
      </c>
      <c r="I25" s="1"/>
    </row>
    <row r="26" spans="2:13" x14ac:dyDescent="0.25">
      <c r="B26" s="47"/>
      <c r="C26" s="74"/>
      <c r="D26" s="34">
        <v>0.15</v>
      </c>
      <c r="E26" s="34">
        <f>C26*D26</f>
        <v>0</v>
      </c>
      <c r="F26" s="34"/>
      <c r="G26" s="34">
        <f t="shared" si="1"/>
        <v>0</v>
      </c>
      <c r="H26" s="176">
        <f t="shared" si="0"/>
        <v>0</v>
      </c>
      <c r="I26" s="1"/>
    </row>
    <row r="27" spans="2:13" ht="15.75" thickBot="1" x14ac:dyDescent="0.3">
      <c r="B27" s="127"/>
      <c r="C27" s="128">
        <f>SUM(C7:C26)</f>
        <v>222</v>
      </c>
      <c r="D27" s="128">
        <v>0.15</v>
      </c>
      <c r="E27" s="128">
        <f>SUM(E7:E26)</f>
        <v>33.17</v>
      </c>
      <c r="F27" s="128">
        <f>SUM(F5:F26)</f>
        <v>0</v>
      </c>
      <c r="G27" s="102">
        <f>SUM(G5:G26)</f>
        <v>0</v>
      </c>
      <c r="H27" s="129">
        <f t="shared" si="0"/>
        <v>0</v>
      </c>
    </row>
    <row r="28" spans="2:13" ht="15.75" thickBot="1" x14ac:dyDescent="0.3">
      <c r="B28" s="5"/>
      <c r="C28" s="62"/>
      <c r="D28" s="63"/>
      <c r="E28" s="75" t="s">
        <v>84</v>
      </c>
      <c r="F28" s="76">
        <f>C27-F27</f>
        <v>222</v>
      </c>
      <c r="G28" s="77" t="s">
        <v>85</v>
      </c>
      <c r="H28" s="76">
        <f>SUM(E6+E27-G27)</f>
        <v>33.17</v>
      </c>
    </row>
    <row r="29" spans="2:13" x14ac:dyDescent="0.25">
      <c r="H29" s="138"/>
    </row>
    <row r="30" spans="2:13" ht="15.75" thickBot="1" x14ac:dyDescent="0.3">
      <c r="B30" s="5"/>
      <c r="C30" s="62"/>
      <c r="D30" s="63"/>
      <c r="E30" s="63"/>
      <c r="F30" s="63"/>
      <c r="G30" s="62"/>
      <c r="H30" s="63"/>
      <c r="I30" s="63"/>
    </row>
    <row r="31" spans="2:13" ht="59.25" customHeight="1" thickBot="1" x14ac:dyDescent="0.3">
      <c r="B31" s="275" t="s">
        <v>151</v>
      </c>
      <c r="C31" s="276"/>
      <c r="D31" s="276"/>
      <c r="E31" s="276"/>
      <c r="F31" s="276"/>
      <c r="G31" s="276"/>
      <c r="H31" s="277"/>
      <c r="I31" s="63"/>
    </row>
    <row r="32" spans="2:13" x14ac:dyDescent="0.25">
      <c r="B32" s="35" t="s">
        <v>63</v>
      </c>
      <c r="C32" s="48" t="s">
        <v>67</v>
      </c>
      <c r="D32" s="35" t="s">
        <v>70</v>
      </c>
      <c r="E32" s="49" t="s">
        <v>86</v>
      </c>
      <c r="F32" s="49" t="s">
        <v>123</v>
      </c>
      <c r="G32" s="49" t="s">
        <v>83</v>
      </c>
      <c r="H32" s="61"/>
      <c r="I32" s="63"/>
    </row>
    <row r="33" spans="2:8" x14ac:dyDescent="0.25">
      <c r="B33" s="65" t="s">
        <v>87</v>
      </c>
      <c r="C33" s="119"/>
      <c r="D33" s="66"/>
      <c r="E33" s="66"/>
      <c r="F33" s="34"/>
      <c r="G33" s="34">
        <f>F33*0.08</f>
        <v>0</v>
      </c>
      <c r="H33" s="34">
        <f t="shared" ref="H33:H50" si="5">G33*D33</f>
        <v>0</v>
      </c>
    </row>
    <row r="34" spans="2:8" x14ac:dyDescent="0.25">
      <c r="B34" s="64"/>
      <c r="C34" s="64"/>
      <c r="D34" s="50">
        <v>0.15</v>
      </c>
      <c r="E34" s="50">
        <v>0</v>
      </c>
      <c r="F34" s="34"/>
      <c r="G34" s="34">
        <f t="shared" ref="G34:G47" si="6">F34*0.08</f>
        <v>0</v>
      </c>
      <c r="H34" s="34">
        <f t="shared" si="5"/>
        <v>0</v>
      </c>
    </row>
    <row r="35" spans="2:8" x14ac:dyDescent="0.25">
      <c r="B35" s="47"/>
      <c r="C35" s="74"/>
      <c r="D35" s="34">
        <v>0.15</v>
      </c>
      <c r="E35" s="34">
        <f t="shared" ref="E35:E49" si="7">C35*D35</f>
        <v>0</v>
      </c>
      <c r="F35" s="34"/>
      <c r="G35" s="34">
        <f t="shared" si="6"/>
        <v>0</v>
      </c>
      <c r="H35" s="34">
        <f t="shared" si="5"/>
        <v>0</v>
      </c>
    </row>
    <row r="36" spans="2:8" x14ac:dyDescent="0.25">
      <c r="B36" s="47"/>
      <c r="C36" s="74"/>
      <c r="D36" s="34">
        <v>0.15</v>
      </c>
      <c r="E36" s="34">
        <f t="shared" si="7"/>
        <v>0</v>
      </c>
      <c r="F36" s="34"/>
      <c r="G36" s="34">
        <f t="shared" si="6"/>
        <v>0</v>
      </c>
      <c r="H36" s="34">
        <f t="shared" si="5"/>
        <v>0</v>
      </c>
    </row>
    <row r="37" spans="2:8" x14ac:dyDescent="0.25">
      <c r="B37" s="47"/>
      <c r="C37" s="74"/>
      <c r="D37" s="34">
        <v>0.15</v>
      </c>
      <c r="E37" s="34">
        <f t="shared" si="7"/>
        <v>0</v>
      </c>
      <c r="F37" s="34"/>
      <c r="G37" s="34">
        <f>F37*0.08</f>
        <v>0</v>
      </c>
      <c r="H37" s="34">
        <f t="shared" si="5"/>
        <v>0</v>
      </c>
    </row>
    <row r="38" spans="2:8" x14ac:dyDescent="0.25">
      <c r="B38" s="47"/>
      <c r="C38" s="74"/>
      <c r="D38" s="34">
        <v>0.15</v>
      </c>
      <c r="E38" s="34">
        <f t="shared" si="7"/>
        <v>0</v>
      </c>
      <c r="F38" s="34"/>
      <c r="G38" s="34">
        <f>F38*0.08</f>
        <v>0</v>
      </c>
      <c r="H38" s="34">
        <f t="shared" si="5"/>
        <v>0</v>
      </c>
    </row>
    <row r="39" spans="2:8" x14ac:dyDescent="0.25">
      <c r="B39" s="47"/>
      <c r="C39" s="74"/>
      <c r="D39" s="34">
        <v>0.15</v>
      </c>
      <c r="E39" s="34">
        <f t="shared" si="7"/>
        <v>0</v>
      </c>
      <c r="F39" s="34"/>
      <c r="G39" s="34">
        <f t="shared" si="6"/>
        <v>0</v>
      </c>
      <c r="H39" s="34">
        <f t="shared" si="5"/>
        <v>0</v>
      </c>
    </row>
    <row r="40" spans="2:8" x14ac:dyDescent="0.25">
      <c r="B40" s="47"/>
      <c r="C40" s="74"/>
      <c r="D40" s="34">
        <v>0.15</v>
      </c>
      <c r="E40" s="34">
        <f t="shared" si="7"/>
        <v>0</v>
      </c>
      <c r="F40" s="34"/>
      <c r="G40" s="34">
        <f>F40*0.1</f>
        <v>0</v>
      </c>
      <c r="H40" s="34">
        <f t="shared" si="5"/>
        <v>0</v>
      </c>
    </row>
    <row r="41" spans="2:8" x14ac:dyDescent="0.25">
      <c r="B41" s="47"/>
      <c r="C41" s="74"/>
      <c r="D41" s="34">
        <v>0.15</v>
      </c>
      <c r="E41" s="34">
        <f t="shared" si="7"/>
        <v>0</v>
      </c>
      <c r="F41" s="34"/>
      <c r="G41" s="34">
        <f t="shared" si="6"/>
        <v>0</v>
      </c>
      <c r="H41" s="34">
        <f t="shared" si="5"/>
        <v>0</v>
      </c>
    </row>
    <row r="42" spans="2:8" x14ac:dyDescent="0.25">
      <c r="B42" s="47"/>
      <c r="C42" s="74"/>
      <c r="D42" s="34">
        <v>0.15</v>
      </c>
      <c r="E42" s="34">
        <f t="shared" si="7"/>
        <v>0</v>
      </c>
      <c r="F42" s="34"/>
      <c r="G42" s="34">
        <f>F42*0.1</f>
        <v>0</v>
      </c>
      <c r="H42" s="34">
        <f t="shared" si="5"/>
        <v>0</v>
      </c>
    </row>
    <row r="43" spans="2:8" x14ac:dyDescent="0.25">
      <c r="B43" s="47"/>
      <c r="C43" s="74"/>
      <c r="D43" s="34">
        <v>0.15</v>
      </c>
      <c r="E43" s="34">
        <f t="shared" si="7"/>
        <v>0</v>
      </c>
      <c r="F43" s="34"/>
      <c r="G43" s="34">
        <f>F43*0.1</f>
        <v>0</v>
      </c>
      <c r="H43" s="34">
        <f t="shared" si="5"/>
        <v>0</v>
      </c>
    </row>
    <row r="44" spans="2:8" x14ac:dyDescent="0.25">
      <c r="B44" s="47"/>
      <c r="C44" s="74"/>
      <c r="D44" s="34">
        <v>0.15</v>
      </c>
      <c r="E44" s="34">
        <f t="shared" si="7"/>
        <v>0</v>
      </c>
      <c r="F44" s="34"/>
      <c r="G44" s="34">
        <f t="shared" si="6"/>
        <v>0</v>
      </c>
      <c r="H44" s="34">
        <f t="shared" si="5"/>
        <v>0</v>
      </c>
    </row>
    <row r="45" spans="2:8" x14ac:dyDescent="0.25">
      <c r="B45" s="47"/>
      <c r="C45" s="74"/>
      <c r="D45" s="34">
        <v>0.15</v>
      </c>
      <c r="E45" s="34">
        <f t="shared" si="7"/>
        <v>0</v>
      </c>
      <c r="F45" s="34"/>
      <c r="G45" s="34">
        <f t="shared" si="6"/>
        <v>0</v>
      </c>
      <c r="H45" s="34">
        <f t="shared" si="5"/>
        <v>0</v>
      </c>
    </row>
    <row r="46" spans="2:8" x14ac:dyDescent="0.25">
      <c r="B46" s="47"/>
      <c r="C46" s="74"/>
      <c r="D46" s="34">
        <v>0.15</v>
      </c>
      <c r="E46" s="34">
        <f t="shared" si="7"/>
        <v>0</v>
      </c>
      <c r="F46" s="34"/>
      <c r="G46" s="34">
        <f>F46*0.1</f>
        <v>0</v>
      </c>
      <c r="H46" s="34">
        <f t="shared" si="5"/>
        <v>0</v>
      </c>
    </row>
    <row r="47" spans="2:8" x14ac:dyDescent="0.25">
      <c r="B47" s="47"/>
      <c r="C47" s="74"/>
      <c r="D47" s="34">
        <v>0.15</v>
      </c>
      <c r="E47" s="34">
        <f t="shared" si="7"/>
        <v>0</v>
      </c>
      <c r="F47" s="34"/>
      <c r="G47" s="34">
        <f t="shared" si="6"/>
        <v>0</v>
      </c>
      <c r="H47" s="34">
        <f t="shared" si="5"/>
        <v>0</v>
      </c>
    </row>
    <row r="48" spans="2:8" x14ac:dyDescent="0.25">
      <c r="B48" s="47"/>
      <c r="C48" s="74"/>
      <c r="D48" s="34">
        <v>0.15</v>
      </c>
      <c r="E48" s="34">
        <f t="shared" si="7"/>
        <v>0</v>
      </c>
      <c r="F48" s="34"/>
      <c r="G48" s="34">
        <f t="shared" ref="G48:G49" si="8">F48*D48</f>
        <v>0</v>
      </c>
      <c r="H48" s="34">
        <f t="shared" si="5"/>
        <v>0</v>
      </c>
    </row>
    <row r="49" spans="2:8" x14ac:dyDescent="0.25">
      <c r="B49" s="47"/>
      <c r="C49" s="74"/>
      <c r="D49" s="34">
        <v>0.15</v>
      </c>
      <c r="E49" s="34">
        <f t="shared" si="7"/>
        <v>0</v>
      </c>
      <c r="F49" s="34"/>
      <c r="G49" s="34">
        <f t="shared" si="8"/>
        <v>0</v>
      </c>
      <c r="H49" s="34">
        <f t="shared" si="5"/>
        <v>0</v>
      </c>
    </row>
    <row r="50" spans="2:8" ht="15.75" thickBot="1" x14ac:dyDescent="0.3">
      <c r="B50" s="127"/>
      <c r="C50" s="128">
        <f>SUM(C35:C49)</f>
        <v>0</v>
      </c>
      <c r="D50" s="128"/>
      <c r="E50" s="128">
        <f>SUM(E35:E49)</f>
        <v>0</v>
      </c>
      <c r="F50" s="128">
        <f>SUM(F33:F49)</f>
        <v>0</v>
      </c>
      <c r="G50" s="128">
        <f>SUM(G33:G49)</f>
        <v>0</v>
      </c>
      <c r="H50" s="129">
        <f t="shared" si="5"/>
        <v>0</v>
      </c>
    </row>
    <row r="51" spans="2:8" ht="15.75" thickBot="1" x14ac:dyDescent="0.3">
      <c r="B51" s="5"/>
      <c r="C51" s="62"/>
      <c r="D51" s="63"/>
      <c r="E51" s="75" t="s">
        <v>84</v>
      </c>
      <c r="F51" s="76">
        <f>C50-F50</f>
        <v>0</v>
      </c>
      <c r="G51" s="77" t="s">
        <v>85</v>
      </c>
      <c r="H51" s="76">
        <f>(E33+E34+E50)-G50</f>
        <v>0</v>
      </c>
    </row>
    <row r="54" spans="2:8" ht="15.75" thickBot="1" x14ac:dyDescent="0.3"/>
    <row r="55" spans="2:8" ht="47.25" customHeight="1" x14ac:dyDescent="0.25">
      <c r="B55" s="273" t="s">
        <v>160</v>
      </c>
      <c r="C55" s="274"/>
      <c r="D55" s="274"/>
      <c r="E55" s="274"/>
      <c r="F55" s="274"/>
      <c r="G55" s="274"/>
      <c r="H55" s="278"/>
    </row>
    <row r="56" spans="2:8" x14ac:dyDescent="0.25">
      <c r="B56" s="1" t="s">
        <v>63</v>
      </c>
      <c r="C56" s="78" t="s">
        <v>67</v>
      </c>
      <c r="D56" s="1" t="s">
        <v>70</v>
      </c>
      <c r="E56" s="34" t="s">
        <v>86</v>
      </c>
      <c r="F56" s="34" t="s">
        <v>123</v>
      </c>
      <c r="G56" s="34" t="s">
        <v>83</v>
      </c>
      <c r="H56" s="34"/>
    </row>
    <row r="57" spans="2:8" x14ac:dyDescent="0.25">
      <c r="B57" s="65" t="s">
        <v>82</v>
      </c>
      <c r="C57" s="119"/>
      <c r="D57" s="66"/>
      <c r="E57" s="66"/>
      <c r="F57" s="34"/>
      <c r="G57" s="34">
        <f>F57*0.08</f>
        <v>0</v>
      </c>
      <c r="H57" s="34">
        <f t="shared" ref="H57:H72" si="9">G57*D57</f>
        <v>0</v>
      </c>
    </row>
    <row r="58" spans="2:8" x14ac:dyDescent="0.25">
      <c r="B58" s="64" t="s">
        <v>87</v>
      </c>
      <c r="C58" s="64"/>
      <c r="D58" s="50"/>
      <c r="E58" s="50">
        <v>0</v>
      </c>
      <c r="F58" s="34"/>
      <c r="G58" s="34">
        <f t="shared" ref="G58:G69" si="10">F58*0.08</f>
        <v>0</v>
      </c>
      <c r="H58" s="34">
        <f t="shared" si="9"/>
        <v>0</v>
      </c>
    </row>
    <row r="59" spans="2:8" x14ac:dyDescent="0.25">
      <c r="B59" s="47">
        <v>46209</v>
      </c>
      <c r="C59" s="74">
        <v>29</v>
      </c>
      <c r="D59" s="34">
        <v>0.15</v>
      </c>
      <c r="E59" s="34">
        <f>C59*D59</f>
        <v>4.3499999999999996</v>
      </c>
      <c r="F59" s="34"/>
      <c r="G59" s="34">
        <f t="shared" si="10"/>
        <v>0</v>
      </c>
      <c r="H59" s="34">
        <f t="shared" si="9"/>
        <v>0</v>
      </c>
    </row>
    <row r="60" spans="2:8" x14ac:dyDescent="0.25">
      <c r="B60" s="47"/>
      <c r="C60" s="74">
        <v>1</v>
      </c>
      <c r="D60" s="34">
        <v>0.109</v>
      </c>
      <c r="E60" s="34">
        <f>C60*D60</f>
        <v>0.109</v>
      </c>
      <c r="F60" s="34"/>
      <c r="G60" s="34">
        <f t="shared" si="10"/>
        <v>0</v>
      </c>
      <c r="H60" s="34">
        <f t="shared" si="9"/>
        <v>0</v>
      </c>
    </row>
    <row r="61" spans="2:8" x14ac:dyDescent="0.25">
      <c r="B61" s="47"/>
      <c r="C61" s="74"/>
      <c r="D61" s="34">
        <v>0.08</v>
      </c>
      <c r="E61" s="34">
        <f>C61*D61</f>
        <v>0</v>
      </c>
      <c r="F61" s="34"/>
      <c r="G61" s="34">
        <f t="shared" si="10"/>
        <v>0</v>
      </c>
      <c r="H61" s="34">
        <f t="shared" si="9"/>
        <v>0</v>
      </c>
    </row>
    <row r="62" spans="2:8" x14ac:dyDescent="0.25">
      <c r="B62" s="47"/>
      <c r="C62" s="74"/>
      <c r="D62" s="34">
        <v>0.08</v>
      </c>
      <c r="E62" s="34">
        <f t="shared" ref="E62:E71" si="11">C62*D62</f>
        <v>0</v>
      </c>
      <c r="F62" s="34"/>
      <c r="G62" s="34">
        <f t="shared" si="10"/>
        <v>0</v>
      </c>
      <c r="H62" s="34">
        <f t="shared" si="9"/>
        <v>0</v>
      </c>
    </row>
    <row r="63" spans="2:8" x14ac:dyDescent="0.25">
      <c r="B63" s="47"/>
      <c r="C63" s="74"/>
      <c r="D63" s="34">
        <v>0.08</v>
      </c>
      <c r="E63" s="34">
        <f t="shared" si="11"/>
        <v>0</v>
      </c>
      <c r="F63" s="34"/>
      <c r="G63" s="34">
        <f t="shared" si="10"/>
        <v>0</v>
      </c>
      <c r="H63" s="34">
        <f t="shared" si="9"/>
        <v>0</v>
      </c>
    </row>
    <row r="64" spans="2:8" x14ac:dyDescent="0.25">
      <c r="B64" s="47"/>
      <c r="C64" s="74"/>
      <c r="D64" s="34">
        <v>0.08</v>
      </c>
      <c r="E64" s="34">
        <f t="shared" si="11"/>
        <v>0</v>
      </c>
      <c r="F64" s="34"/>
      <c r="G64" s="34">
        <f t="shared" si="10"/>
        <v>0</v>
      </c>
      <c r="H64" s="34">
        <f t="shared" si="9"/>
        <v>0</v>
      </c>
    </row>
    <row r="65" spans="2:8" x14ac:dyDescent="0.25">
      <c r="B65" s="47"/>
      <c r="C65" s="74"/>
      <c r="D65" s="34">
        <v>0.08</v>
      </c>
      <c r="E65" s="34">
        <f t="shared" si="11"/>
        <v>0</v>
      </c>
      <c r="F65" s="34"/>
      <c r="G65" s="34">
        <f t="shared" si="10"/>
        <v>0</v>
      </c>
      <c r="H65" s="34">
        <f t="shared" si="9"/>
        <v>0</v>
      </c>
    </row>
    <row r="66" spans="2:8" x14ac:dyDescent="0.25">
      <c r="B66" s="47"/>
      <c r="C66" s="74"/>
      <c r="D66" s="34">
        <v>0.08</v>
      </c>
      <c r="E66" s="34">
        <f t="shared" si="11"/>
        <v>0</v>
      </c>
      <c r="F66" s="34"/>
      <c r="G66" s="34">
        <f t="shared" si="10"/>
        <v>0</v>
      </c>
      <c r="H66" s="34">
        <f t="shared" si="9"/>
        <v>0</v>
      </c>
    </row>
    <row r="67" spans="2:8" x14ac:dyDescent="0.25">
      <c r="B67" s="47"/>
      <c r="C67" s="74"/>
      <c r="D67" s="34">
        <v>0.08</v>
      </c>
      <c r="E67" s="34">
        <f t="shared" si="11"/>
        <v>0</v>
      </c>
      <c r="F67" s="34"/>
      <c r="G67" s="34">
        <f t="shared" si="10"/>
        <v>0</v>
      </c>
      <c r="H67" s="34">
        <f t="shared" si="9"/>
        <v>0</v>
      </c>
    </row>
    <row r="68" spans="2:8" x14ac:dyDescent="0.25">
      <c r="B68" s="47"/>
      <c r="C68" s="74"/>
      <c r="D68" s="34">
        <v>0.08</v>
      </c>
      <c r="E68" s="34">
        <f t="shared" si="11"/>
        <v>0</v>
      </c>
      <c r="F68" s="34"/>
      <c r="G68" s="34">
        <f t="shared" si="10"/>
        <v>0</v>
      </c>
      <c r="H68" s="34">
        <f t="shared" si="9"/>
        <v>0</v>
      </c>
    </row>
    <row r="69" spans="2:8" x14ac:dyDescent="0.25">
      <c r="B69" s="47"/>
      <c r="C69" s="74"/>
      <c r="D69" s="34">
        <v>0.08</v>
      </c>
      <c r="E69" s="34">
        <f t="shared" si="11"/>
        <v>0</v>
      </c>
      <c r="F69" s="34"/>
      <c r="G69" s="34">
        <f t="shared" si="10"/>
        <v>0</v>
      </c>
      <c r="H69" s="34">
        <f t="shared" si="9"/>
        <v>0</v>
      </c>
    </row>
    <row r="70" spans="2:8" x14ac:dyDescent="0.25">
      <c r="B70" s="1"/>
      <c r="C70" s="74"/>
      <c r="D70" s="34">
        <v>0.08</v>
      </c>
      <c r="E70" s="34">
        <f t="shared" si="11"/>
        <v>0</v>
      </c>
      <c r="F70" s="34"/>
      <c r="G70" s="34">
        <f t="shared" ref="G70:G72" si="12">F70*D70</f>
        <v>0</v>
      </c>
      <c r="H70" s="34">
        <f t="shared" si="9"/>
        <v>0</v>
      </c>
    </row>
    <row r="71" spans="2:8" x14ac:dyDescent="0.25">
      <c r="B71" s="47"/>
      <c r="C71" s="74"/>
      <c r="D71" s="34">
        <v>0.08</v>
      </c>
      <c r="E71" s="34">
        <f t="shared" si="11"/>
        <v>0</v>
      </c>
      <c r="F71" s="34"/>
      <c r="G71" s="34">
        <f t="shared" si="12"/>
        <v>0</v>
      </c>
      <c r="H71" s="34">
        <f t="shared" si="9"/>
        <v>0</v>
      </c>
    </row>
    <row r="72" spans="2:8" ht="15.75" thickBot="1" x14ac:dyDescent="0.3">
      <c r="B72" s="127"/>
      <c r="C72" s="128">
        <f>SUM(C59:C71)</f>
        <v>30</v>
      </c>
      <c r="D72" s="128">
        <v>0.08</v>
      </c>
      <c r="E72" s="128">
        <f>SUM(E59:E71)</f>
        <v>4.4589999999999996</v>
      </c>
      <c r="F72" s="128">
        <f>SUM(F57:F71)</f>
        <v>0</v>
      </c>
      <c r="G72" s="128">
        <f t="shared" si="12"/>
        <v>0</v>
      </c>
      <c r="H72" s="129">
        <f t="shared" si="9"/>
        <v>0</v>
      </c>
    </row>
    <row r="73" spans="2:8" ht="15.75" thickBot="1" x14ac:dyDescent="0.3">
      <c r="B73" s="5"/>
      <c r="C73" s="62"/>
      <c r="D73" s="63"/>
      <c r="E73" s="75" t="s">
        <v>84</v>
      </c>
      <c r="F73" s="76">
        <f>C72-F72</f>
        <v>30</v>
      </c>
      <c r="G73" s="77" t="s">
        <v>85</v>
      </c>
      <c r="H73" s="174">
        <f>(E57+E58+E72)-G72</f>
        <v>4.4589999999999996</v>
      </c>
    </row>
    <row r="75" spans="2:8" ht="15.75" thickBot="1" x14ac:dyDescent="0.3"/>
    <row r="76" spans="2:8" ht="42.75" customHeight="1" x14ac:dyDescent="0.25">
      <c r="B76" s="273" t="s">
        <v>164</v>
      </c>
      <c r="C76" s="274"/>
      <c r="D76" s="274"/>
      <c r="E76" s="274"/>
      <c r="F76" s="274"/>
      <c r="G76" s="274"/>
      <c r="H76" s="278"/>
    </row>
    <row r="77" spans="2:8" x14ac:dyDescent="0.25">
      <c r="B77" s="1" t="s">
        <v>63</v>
      </c>
      <c r="C77" s="78" t="s">
        <v>67</v>
      </c>
      <c r="D77" s="1" t="s">
        <v>70</v>
      </c>
      <c r="E77" s="34" t="s">
        <v>86</v>
      </c>
      <c r="F77" s="34" t="s">
        <v>123</v>
      </c>
      <c r="G77" s="34" t="s">
        <v>83</v>
      </c>
      <c r="H77" s="34"/>
    </row>
    <row r="78" spans="2:8" x14ac:dyDescent="0.25">
      <c r="B78" s="65" t="s">
        <v>82</v>
      </c>
      <c r="C78" s="119">
        <v>0</v>
      </c>
      <c r="D78" s="66"/>
      <c r="E78" s="66">
        <v>0</v>
      </c>
      <c r="F78" s="34"/>
      <c r="G78" s="34">
        <f>F78*0.08</f>
        <v>0</v>
      </c>
      <c r="H78" s="34">
        <f t="shared" ref="H78:H93" si="13">G78*D78</f>
        <v>0</v>
      </c>
    </row>
    <row r="79" spans="2:8" x14ac:dyDescent="0.25">
      <c r="B79" s="64" t="s">
        <v>87</v>
      </c>
      <c r="C79" s="50">
        <v>0</v>
      </c>
      <c r="D79" s="50"/>
      <c r="E79" s="50">
        <v>0</v>
      </c>
      <c r="F79" s="34"/>
      <c r="G79" s="34">
        <f t="shared" ref="G79:G90" si="14">F79*0.08</f>
        <v>0</v>
      </c>
      <c r="H79" s="34">
        <f t="shared" si="13"/>
        <v>0</v>
      </c>
    </row>
    <row r="80" spans="2:8" x14ac:dyDescent="0.25">
      <c r="B80" s="47">
        <v>46237</v>
      </c>
      <c r="C80" s="74">
        <v>18</v>
      </c>
      <c r="D80" s="34">
        <v>0.15</v>
      </c>
      <c r="E80" s="34">
        <f>D80*C80</f>
        <v>2.6999999999999997</v>
      </c>
      <c r="F80" s="34"/>
      <c r="G80" s="34">
        <f t="shared" si="14"/>
        <v>0</v>
      </c>
      <c r="H80" s="34">
        <f t="shared" si="13"/>
        <v>0</v>
      </c>
    </row>
    <row r="81" spans="2:8" x14ac:dyDescent="0.25">
      <c r="B81" s="47"/>
      <c r="C81" s="74"/>
      <c r="D81" s="34"/>
      <c r="E81" s="34">
        <f t="shared" ref="E81:E92" si="15">C81*D81</f>
        <v>0</v>
      </c>
      <c r="F81" s="34"/>
      <c r="G81" s="34">
        <f t="shared" si="14"/>
        <v>0</v>
      </c>
      <c r="H81" s="34">
        <f t="shared" si="13"/>
        <v>0</v>
      </c>
    </row>
    <row r="82" spans="2:8" x14ac:dyDescent="0.25">
      <c r="B82" s="47"/>
      <c r="C82" s="74"/>
      <c r="D82" s="34">
        <v>0.15</v>
      </c>
      <c r="E82" s="34">
        <f t="shared" si="15"/>
        <v>0</v>
      </c>
      <c r="F82" s="34"/>
      <c r="G82" s="34">
        <f>F82*0.146</f>
        <v>0</v>
      </c>
      <c r="H82" s="34">
        <f t="shared" si="13"/>
        <v>0</v>
      </c>
    </row>
    <row r="83" spans="2:8" x14ac:dyDescent="0.25">
      <c r="B83" s="47"/>
      <c r="C83" s="74"/>
      <c r="D83" s="34">
        <v>7.4999999999999997E-2</v>
      </c>
      <c r="E83" s="34">
        <f t="shared" si="15"/>
        <v>0</v>
      </c>
      <c r="F83" s="34"/>
      <c r="G83" s="34">
        <f t="shared" si="14"/>
        <v>0</v>
      </c>
      <c r="H83" s="34">
        <f t="shared" si="13"/>
        <v>0</v>
      </c>
    </row>
    <row r="84" spans="2:8" x14ac:dyDescent="0.25">
      <c r="B84" s="47"/>
      <c r="C84" s="74"/>
      <c r="D84" s="34">
        <v>0.15</v>
      </c>
      <c r="E84" s="34">
        <f t="shared" si="15"/>
        <v>0</v>
      </c>
      <c r="F84" s="34"/>
      <c r="G84" s="34">
        <f t="shared" si="14"/>
        <v>0</v>
      </c>
      <c r="H84" s="34">
        <f t="shared" si="13"/>
        <v>0</v>
      </c>
    </row>
    <row r="85" spans="2:8" x14ac:dyDescent="0.25">
      <c r="B85" s="47"/>
      <c r="C85" s="74"/>
      <c r="D85" s="34">
        <v>0.15</v>
      </c>
      <c r="E85" s="34">
        <f t="shared" si="15"/>
        <v>0</v>
      </c>
      <c r="F85" s="34"/>
      <c r="G85" s="34">
        <f t="shared" si="14"/>
        <v>0</v>
      </c>
      <c r="H85" s="34">
        <f t="shared" si="13"/>
        <v>0</v>
      </c>
    </row>
    <row r="86" spans="2:8" x14ac:dyDescent="0.25">
      <c r="B86" s="47"/>
      <c r="C86" s="74"/>
      <c r="D86" s="34">
        <v>0.15</v>
      </c>
      <c r="E86" s="34">
        <f t="shared" si="15"/>
        <v>0</v>
      </c>
      <c r="F86" s="34"/>
      <c r="G86" s="34">
        <f t="shared" si="14"/>
        <v>0</v>
      </c>
      <c r="H86" s="34">
        <f t="shared" si="13"/>
        <v>0</v>
      </c>
    </row>
    <row r="87" spans="2:8" x14ac:dyDescent="0.25">
      <c r="B87" s="47"/>
      <c r="C87" s="74"/>
      <c r="D87" s="34">
        <v>0.15</v>
      </c>
      <c r="E87" s="34">
        <f t="shared" si="15"/>
        <v>0</v>
      </c>
      <c r="F87" s="34"/>
      <c r="G87" s="34">
        <f t="shared" si="14"/>
        <v>0</v>
      </c>
      <c r="H87" s="34">
        <f t="shared" si="13"/>
        <v>0</v>
      </c>
    </row>
    <row r="88" spans="2:8" x14ac:dyDescent="0.25">
      <c r="B88" s="47"/>
      <c r="C88" s="74"/>
      <c r="D88" s="34">
        <v>0.15</v>
      </c>
      <c r="E88" s="34">
        <f t="shared" si="15"/>
        <v>0</v>
      </c>
      <c r="F88" s="34"/>
      <c r="G88" s="34">
        <f t="shared" si="14"/>
        <v>0</v>
      </c>
      <c r="H88" s="34">
        <f t="shared" si="13"/>
        <v>0</v>
      </c>
    </row>
    <row r="89" spans="2:8" x14ac:dyDescent="0.25">
      <c r="B89" s="47"/>
      <c r="C89" s="74"/>
      <c r="D89" s="34">
        <v>0.15</v>
      </c>
      <c r="E89" s="34">
        <f t="shared" si="15"/>
        <v>0</v>
      </c>
      <c r="F89" s="34"/>
      <c r="G89" s="34">
        <f t="shared" si="14"/>
        <v>0</v>
      </c>
      <c r="H89" s="34">
        <f t="shared" si="13"/>
        <v>0</v>
      </c>
    </row>
    <row r="90" spans="2:8" x14ac:dyDescent="0.25">
      <c r="B90" s="47"/>
      <c r="C90" s="74"/>
      <c r="D90" s="34">
        <v>0.15</v>
      </c>
      <c r="E90" s="34">
        <f t="shared" si="15"/>
        <v>0</v>
      </c>
      <c r="F90" s="34"/>
      <c r="G90" s="34">
        <f t="shared" si="14"/>
        <v>0</v>
      </c>
      <c r="H90" s="34">
        <f t="shared" si="13"/>
        <v>0</v>
      </c>
    </row>
    <row r="91" spans="2:8" x14ac:dyDescent="0.25">
      <c r="B91" s="1"/>
      <c r="C91" s="74"/>
      <c r="D91" s="34">
        <v>0.15</v>
      </c>
      <c r="E91" s="34">
        <f t="shared" si="15"/>
        <v>0</v>
      </c>
      <c r="F91" s="34"/>
      <c r="G91" s="34">
        <f t="shared" ref="G91:G92" si="16">F91*D91</f>
        <v>0</v>
      </c>
      <c r="H91" s="34">
        <f t="shared" si="13"/>
        <v>0</v>
      </c>
    </row>
    <row r="92" spans="2:8" x14ac:dyDescent="0.25">
      <c r="B92" s="47"/>
      <c r="C92" s="74"/>
      <c r="D92" s="34">
        <v>0.15</v>
      </c>
      <c r="E92" s="34">
        <f t="shared" si="15"/>
        <v>0</v>
      </c>
      <c r="F92" s="34"/>
      <c r="G92" s="34">
        <f t="shared" si="16"/>
        <v>0</v>
      </c>
      <c r="H92" s="34">
        <f t="shared" si="13"/>
        <v>0</v>
      </c>
    </row>
    <row r="93" spans="2:8" x14ac:dyDescent="0.25">
      <c r="B93" s="130"/>
      <c r="C93" s="102">
        <f>SUM(C80:C92)</f>
        <v>18</v>
      </c>
      <c r="D93" s="102">
        <v>0.15</v>
      </c>
      <c r="E93" s="102">
        <f>SUM(E80:E92)</f>
        <v>2.6999999999999997</v>
      </c>
      <c r="F93" s="102">
        <f>SUM(F78:F92)</f>
        <v>0</v>
      </c>
      <c r="G93" s="102">
        <f>SUM(G78:G92)</f>
        <v>0</v>
      </c>
      <c r="H93" s="102">
        <f t="shared" si="13"/>
        <v>0</v>
      </c>
    </row>
    <row r="94" spans="2:8" ht="15.75" thickBot="1" x14ac:dyDescent="0.3">
      <c r="B94" s="5"/>
      <c r="C94" s="62"/>
      <c r="D94" s="63"/>
      <c r="E94" s="75" t="s">
        <v>84</v>
      </c>
      <c r="F94" s="76">
        <f>C93-F93</f>
        <v>18</v>
      </c>
      <c r="G94" s="77" t="s">
        <v>85</v>
      </c>
      <c r="H94" s="174">
        <f>(E78+E79+E93)-G93</f>
        <v>2.6999999999999997</v>
      </c>
    </row>
    <row r="96" spans="2:8" ht="15.75" thickBot="1" x14ac:dyDescent="0.3"/>
    <row r="97" spans="2:10" ht="57" customHeight="1" x14ac:dyDescent="0.25">
      <c r="B97" s="273" t="s">
        <v>163</v>
      </c>
      <c r="C97" s="274"/>
      <c r="D97" s="274"/>
      <c r="E97" s="274"/>
      <c r="F97" s="274"/>
      <c r="G97" s="274"/>
      <c r="H97" s="278"/>
    </row>
    <row r="98" spans="2:10" x14ac:dyDescent="0.25">
      <c r="B98" s="1" t="s">
        <v>63</v>
      </c>
      <c r="C98" s="78" t="s">
        <v>67</v>
      </c>
      <c r="D98" s="1" t="s">
        <v>70</v>
      </c>
      <c r="E98" s="34" t="s">
        <v>86</v>
      </c>
      <c r="F98" s="34" t="s">
        <v>123</v>
      </c>
      <c r="G98" s="34" t="s">
        <v>83</v>
      </c>
      <c r="H98" s="34"/>
    </row>
    <row r="99" spans="2:10" x14ac:dyDescent="0.25">
      <c r="B99" s="65" t="s">
        <v>82</v>
      </c>
      <c r="C99" s="119">
        <v>0</v>
      </c>
      <c r="D99" s="66"/>
      <c r="E99" s="66">
        <v>0</v>
      </c>
      <c r="F99" s="34"/>
      <c r="G99" s="34">
        <f>F99*0.08</f>
        <v>0</v>
      </c>
      <c r="H99" s="34">
        <f t="shared" ref="H99:H114" si="17">G99*D99</f>
        <v>0</v>
      </c>
    </row>
    <row r="100" spans="2:10" x14ac:dyDescent="0.25">
      <c r="B100" s="64" t="s">
        <v>87</v>
      </c>
      <c r="C100" s="50"/>
      <c r="D100" s="50"/>
      <c r="E100" s="50">
        <v>0</v>
      </c>
      <c r="F100" s="34"/>
      <c r="G100" s="34">
        <f t="shared" ref="G100:G111" si="18">F100*0.08</f>
        <v>0</v>
      </c>
      <c r="H100" s="34">
        <f t="shared" si="17"/>
        <v>0</v>
      </c>
    </row>
    <row r="101" spans="2:10" x14ac:dyDescent="0.25">
      <c r="B101" s="47">
        <v>46224</v>
      </c>
      <c r="C101" s="74">
        <v>21</v>
      </c>
      <c r="D101" s="34">
        <v>0.15</v>
      </c>
      <c r="E101" s="34">
        <f>C101*D101</f>
        <v>3.15</v>
      </c>
      <c r="F101" s="34"/>
      <c r="G101" s="34">
        <f t="shared" si="18"/>
        <v>0</v>
      </c>
      <c r="H101" s="34">
        <f t="shared" si="17"/>
        <v>0</v>
      </c>
      <c r="I101" s="177"/>
      <c r="J101" s="178"/>
    </row>
    <row r="102" spans="2:10" x14ac:dyDescent="0.25">
      <c r="B102" s="47"/>
      <c r="C102" s="74">
        <v>1</v>
      </c>
      <c r="D102" s="34">
        <v>7.4999999999999997E-2</v>
      </c>
      <c r="E102" s="34">
        <f>C102*D102</f>
        <v>7.4999999999999997E-2</v>
      </c>
      <c r="F102" s="34"/>
      <c r="G102" s="34">
        <f t="shared" si="18"/>
        <v>0</v>
      </c>
      <c r="H102" s="34">
        <f t="shared" si="17"/>
        <v>0</v>
      </c>
    </row>
    <row r="103" spans="2:10" x14ac:dyDescent="0.25">
      <c r="B103" s="47"/>
      <c r="C103" s="74">
        <v>1</v>
      </c>
      <c r="D103" s="34">
        <v>2.1000000000000001E-2</v>
      </c>
      <c r="E103" s="34">
        <f t="shared" ref="E103:E113" si="19">C103*D103</f>
        <v>2.1000000000000001E-2</v>
      </c>
      <c r="F103" s="34"/>
      <c r="G103" s="34">
        <v>0.15</v>
      </c>
      <c r="H103" s="34">
        <f t="shared" si="17"/>
        <v>3.15E-3</v>
      </c>
    </row>
    <row r="104" spans="2:10" x14ac:dyDescent="0.25">
      <c r="B104" s="47"/>
      <c r="C104" s="74"/>
      <c r="D104" s="34">
        <v>7.4999999999999997E-2</v>
      </c>
      <c r="E104" s="34">
        <f t="shared" si="19"/>
        <v>0</v>
      </c>
      <c r="F104" s="34"/>
      <c r="G104" s="34">
        <f t="shared" si="18"/>
        <v>0</v>
      </c>
      <c r="H104" s="34">
        <f t="shared" si="17"/>
        <v>0</v>
      </c>
    </row>
    <row r="105" spans="2:10" x14ac:dyDescent="0.25">
      <c r="B105" s="47">
        <v>46232</v>
      </c>
      <c r="C105" s="74"/>
      <c r="D105" s="34">
        <v>0.15</v>
      </c>
      <c r="E105" s="34">
        <f t="shared" si="19"/>
        <v>0</v>
      </c>
      <c r="F105" s="34">
        <v>5</v>
      </c>
      <c r="G105" s="34">
        <f>F105*0.15</f>
        <v>0.75</v>
      </c>
      <c r="H105" s="34">
        <f t="shared" si="17"/>
        <v>0.11249999999999999</v>
      </c>
    </row>
    <row r="106" spans="2:10" x14ac:dyDescent="0.25">
      <c r="B106" s="47"/>
      <c r="C106" s="74"/>
      <c r="D106" s="34">
        <v>0.15</v>
      </c>
      <c r="E106" s="34">
        <f t="shared" si="19"/>
        <v>0</v>
      </c>
      <c r="F106" s="34"/>
      <c r="G106" s="34">
        <f t="shared" si="18"/>
        <v>0</v>
      </c>
      <c r="H106" s="34">
        <f t="shared" si="17"/>
        <v>0</v>
      </c>
    </row>
    <row r="107" spans="2:10" x14ac:dyDescent="0.25">
      <c r="B107" s="47"/>
      <c r="C107" s="74"/>
      <c r="D107" s="34">
        <v>0.15</v>
      </c>
      <c r="E107" s="34">
        <f t="shared" si="19"/>
        <v>0</v>
      </c>
      <c r="F107" s="34"/>
      <c r="G107" s="34">
        <f t="shared" si="18"/>
        <v>0</v>
      </c>
      <c r="H107" s="34">
        <f t="shared" si="17"/>
        <v>0</v>
      </c>
    </row>
    <row r="108" spans="2:10" x14ac:dyDescent="0.25">
      <c r="B108" s="47"/>
      <c r="C108" s="74"/>
      <c r="D108" s="34">
        <v>0.15</v>
      </c>
      <c r="E108" s="34">
        <f t="shared" si="19"/>
        <v>0</v>
      </c>
      <c r="F108" s="34"/>
      <c r="G108" s="34">
        <f t="shared" si="18"/>
        <v>0</v>
      </c>
      <c r="H108" s="34">
        <f t="shared" si="17"/>
        <v>0</v>
      </c>
    </row>
    <row r="109" spans="2:10" x14ac:dyDescent="0.25">
      <c r="B109" s="47"/>
      <c r="C109" s="74"/>
      <c r="D109" s="34">
        <v>0.15</v>
      </c>
      <c r="E109" s="34">
        <f t="shared" si="19"/>
        <v>0</v>
      </c>
      <c r="F109" s="34"/>
      <c r="G109" s="34">
        <f t="shared" si="18"/>
        <v>0</v>
      </c>
      <c r="H109" s="34">
        <f t="shared" si="17"/>
        <v>0</v>
      </c>
    </row>
    <row r="110" spans="2:10" x14ac:dyDescent="0.25">
      <c r="B110" s="47"/>
      <c r="C110" s="74"/>
      <c r="D110" s="34">
        <v>0.15</v>
      </c>
      <c r="E110" s="34">
        <f t="shared" si="19"/>
        <v>0</v>
      </c>
      <c r="F110" s="34"/>
      <c r="G110" s="34">
        <f t="shared" si="18"/>
        <v>0</v>
      </c>
      <c r="H110" s="34">
        <f t="shared" si="17"/>
        <v>0</v>
      </c>
    </row>
    <row r="111" spans="2:10" x14ac:dyDescent="0.25">
      <c r="B111" s="47"/>
      <c r="C111" s="74"/>
      <c r="D111" s="34">
        <v>0.15</v>
      </c>
      <c r="E111" s="34">
        <f t="shared" si="19"/>
        <v>0</v>
      </c>
      <c r="F111" s="34"/>
      <c r="G111" s="34">
        <f t="shared" si="18"/>
        <v>0</v>
      </c>
      <c r="H111" s="34">
        <f t="shared" si="17"/>
        <v>0</v>
      </c>
    </row>
    <row r="112" spans="2:10" x14ac:dyDescent="0.25">
      <c r="B112" s="1"/>
      <c r="C112" s="74"/>
      <c r="D112" s="34">
        <v>0.15</v>
      </c>
      <c r="E112" s="34">
        <f t="shared" si="19"/>
        <v>0</v>
      </c>
      <c r="F112" s="34"/>
      <c r="G112" s="34">
        <f t="shared" ref="G112:G114" si="20">F112*D112</f>
        <v>0</v>
      </c>
      <c r="H112" s="34">
        <f t="shared" si="17"/>
        <v>0</v>
      </c>
    </row>
    <row r="113" spans="2:8" x14ac:dyDescent="0.25">
      <c r="B113" s="47"/>
      <c r="C113" s="74"/>
      <c r="D113" s="34">
        <v>0.15</v>
      </c>
      <c r="E113" s="34">
        <f t="shared" si="19"/>
        <v>0</v>
      </c>
      <c r="F113" s="34"/>
      <c r="G113" s="34">
        <f t="shared" si="20"/>
        <v>0</v>
      </c>
      <c r="H113" s="34">
        <f t="shared" si="17"/>
        <v>0</v>
      </c>
    </row>
    <row r="114" spans="2:8" x14ac:dyDescent="0.25">
      <c r="B114" s="130"/>
      <c r="C114" s="102">
        <f>SUM(C101:C113)</f>
        <v>23</v>
      </c>
      <c r="D114" s="102">
        <v>0.15</v>
      </c>
      <c r="E114" s="102">
        <f>SUM(E101:E113)</f>
        <v>3.246</v>
      </c>
      <c r="F114" s="102">
        <f>SUM(F99:F113)</f>
        <v>5</v>
      </c>
      <c r="G114" s="102">
        <f t="shared" si="20"/>
        <v>0.75</v>
      </c>
      <c r="H114" s="102">
        <f t="shared" si="17"/>
        <v>0.11249999999999999</v>
      </c>
    </row>
    <row r="115" spans="2:8" ht="15.75" thickBot="1" x14ac:dyDescent="0.3">
      <c r="B115" s="5"/>
      <c r="C115" s="62"/>
      <c r="D115" s="63"/>
      <c r="E115" s="75" t="s">
        <v>84</v>
      </c>
      <c r="F115" s="76">
        <f>C114-F114</f>
        <v>18</v>
      </c>
      <c r="G115" s="77" t="s">
        <v>85</v>
      </c>
      <c r="H115" s="174">
        <f>(E99+E100+E114)-G114</f>
        <v>2.496</v>
      </c>
    </row>
    <row r="117" spans="2:8" ht="15.75" thickBot="1" x14ac:dyDescent="0.3"/>
    <row r="118" spans="2:8" ht="49.5" customHeight="1" x14ac:dyDescent="0.25">
      <c r="B118" s="273" t="s">
        <v>159</v>
      </c>
      <c r="C118" s="274"/>
      <c r="D118" s="274"/>
      <c r="E118" s="274"/>
      <c r="F118" s="274"/>
      <c r="G118" s="274"/>
      <c r="H118" s="278"/>
    </row>
    <row r="119" spans="2:8" x14ac:dyDescent="0.25">
      <c r="B119" s="1" t="s">
        <v>63</v>
      </c>
      <c r="C119" s="78" t="s">
        <v>67</v>
      </c>
      <c r="D119" s="1" t="s">
        <v>70</v>
      </c>
      <c r="E119" s="34" t="s">
        <v>86</v>
      </c>
      <c r="F119" s="34" t="s">
        <v>123</v>
      </c>
      <c r="G119" s="34" t="s">
        <v>83</v>
      </c>
      <c r="H119" s="34"/>
    </row>
    <row r="120" spans="2:8" x14ac:dyDescent="0.25">
      <c r="B120" s="65" t="s">
        <v>82</v>
      </c>
      <c r="C120" s="119">
        <v>0</v>
      </c>
      <c r="D120" s="66"/>
      <c r="E120" s="66">
        <v>5</v>
      </c>
      <c r="F120" s="34"/>
      <c r="G120" s="34">
        <f>F120*0.08</f>
        <v>0</v>
      </c>
      <c r="H120" s="34">
        <f t="shared" ref="H120:H135" si="21">G120*D120</f>
        <v>0</v>
      </c>
    </row>
    <row r="121" spans="2:8" x14ac:dyDescent="0.25">
      <c r="B121" s="64" t="s">
        <v>87</v>
      </c>
      <c r="C121" s="50"/>
      <c r="D121" s="34"/>
      <c r="E121" s="50">
        <v>0</v>
      </c>
      <c r="F121" s="34"/>
      <c r="G121" s="34">
        <f t="shared" ref="G121:G132" si="22">F121*0.08</f>
        <v>0</v>
      </c>
      <c r="H121" s="34">
        <f t="shared" si="21"/>
        <v>0</v>
      </c>
    </row>
    <row r="122" spans="2:8" x14ac:dyDescent="0.25">
      <c r="B122" s="47">
        <v>46224</v>
      </c>
      <c r="C122" s="74">
        <v>22</v>
      </c>
      <c r="D122" s="34">
        <v>0.15</v>
      </c>
      <c r="E122" s="34">
        <f>C122*D122</f>
        <v>3.3</v>
      </c>
      <c r="F122" s="34"/>
      <c r="G122" s="34">
        <f t="shared" si="22"/>
        <v>0</v>
      </c>
      <c r="H122" s="34">
        <f t="shared" si="21"/>
        <v>0</v>
      </c>
    </row>
    <row r="123" spans="2:8" x14ac:dyDescent="0.25">
      <c r="B123" s="47"/>
      <c r="C123" s="74">
        <v>1</v>
      </c>
      <c r="D123" s="34">
        <v>7.4999999999999997E-2</v>
      </c>
      <c r="E123" s="34">
        <f>C123*D123</f>
        <v>7.4999999999999997E-2</v>
      </c>
      <c r="F123" s="34"/>
      <c r="G123" s="34">
        <f t="shared" si="22"/>
        <v>0</v>
      </c>
      <c r="H123" s="34">
        <f t="shared" si="21"/>
        <v>0</v>
      </c>
    </row>
    <row r="124" spans="2:8" x14ac:dyDescent="0.25">
      <c r="B124" s="47"/>
      <c r="C124" s="74">
        <v>1</v>
      </c>
      <c r="D124" s="34">
        <v>2.1000000000000001E-2</v>
      </c>
      <c r="E124" s="34">
        <f t="shared" ref="E124:E134" si="23">C124*D124</f>
        <v>2.1000000000000001E-2</v>
      </c>
      <c r="F124" s="34"/>
      <c r="G124" s="34">
        <f t="shared" si="22"/>
        <v>0</v>
      </c>
      <c r="H124" s="34">
        <f t="shared" si="21"/>
        <v>0</v>
      </c>
    </row>
    <row r="125" spans="2:8" x14ac:dyDescent="0.25">
      <c r="B125" s="47">
        <v>46226</v>
      </c>
      <c r="C125" s="74"/>
      <c r="D125" s="34">
        <v>0.15</v>
      </c>
      <c r="E125" s="34">
        <f t="shared" si="23"/>
        <v>0</v>
      </c>
      <c r="F125" s="34">
        <v>10</v>
      </c>
      <c r="G125" s="34">
        <f>F125*0.15</f>
        <v>1.5</v>
      </c>
      <c r="H125" s="34">
        <f t="shared" si="21"/>
        <v>0.22499999999999998</v>
      </c>
    </row>
    <row r="126" spans="2:8" x14ac:dyDescent="0.25">
      <c r="B126" s="47"/>
      <c r="C126" s="74"/>
      <c r="D126" s="34">
        <v>0.15</v>
      </c>
      <c r="E126" s="34">
        <f t="shared" si="23"/>
        <v>0</v>
      </c>
      <c r="F126" s="34"/>
      <c r="G126" s="34">
        <f t="shared" si="22"/>
        <v>0</v>
      </c>
      <c r="H126" s="34">
        <f t="shared" si="21"/>
        <v>0</v>
      </c>
    </row>
    <row r="127" spans="2:8" x14ac:dyDescent="0.25">
      <c r="B127" s="47"/>
      <c r="C127" s="74"/>
      <c r="D127" s="34">
        <v>0.15</v>
      </c>
      <c r="E127" s="34">
        <f t="shared" si="23"/>
        <v>0</v>
      </c>
      <c r="F127" s="34"/>
      <c r="G127" s="34">
        <f t="shared" si="22"/>
        <v>0</v>
      </c>
      <c r="H127" s="34">
        <f t="shared" si="21"/>
        <v>0</v>
      </c>
    </row>
    <row r="128" spans="2:8" x14ac:dyDescent="0.25">
      <c r="B128" s="47"/>
      <c r="C128" s="74"/>
      <c r="D128" s="34">
        <v>0.15</v>
      </c>
      <c r="E128" s="34">
        <f t="shared" si="23"/>
        <v>0</v>
      </c>
      <c r="F128" s="34"/>
      <c r="G128" s="34">
        <f t="shared" si="22"/>
        <v>0</v>
      </c>
      <c r="H128" s="34">
        <f t="shared" si="21"/>
        <v>0</v>
      </c>
    </row>
    <row r="129" spans="2:8" x14ac:dyDescent="0.25">
      <c r="B129" s="47"/>
      <c r="C129" s="74"/>
      <c r="D129" s="34">
        <v>0.15</v>
      </c>
      <c r="E129" s="34">
        <f t="shared" si="23"/>
        <v>0</v>
      </c>
      <c r="F129" s="34"/>
      <c r="G129" s="34">
        <f t="shared" si="22"/>
        <v>0</v>
      </c>
      <c r="H129" s="34">
        <f t="shared" si="21"/>
        <v>0</v>
      </c>
    </row>
    <row r="130" spans="2:8" x14ac:dyDescent="0.25">
      <c r="B130" s="47"/>
      <c r="C130" s="74"/>
      <c r="D130" s="34">
        <v>0.15</v>
      </c>
      <c r="E130" s="34">
        <f t="shared" si="23"/>
        <v>0</v>
      </c>
      <c r="F130" s="34"/>
      <c r="G130" s="34">
        <f t="shared" si="22"/>
        <v>0</v>
      </c>
      <c r="H130" s="34">
        <f t="shared" si="21"/>
        <v>0</v>
      </c>
    </row>
    <row r="131" spans="2:8" x14ac:dyDescent="0.25">
      <c r="B131" s="47"/>
      <c r="C131" s="74"/>
      <c r="D131" s="34">
        <v>0.15</v>
      </c>
      <c r="E131" s="34">
        <f t="shared" si="23"/>
        <v>0</v>
      </c>
      <c r="F131" s="34"/>
      <c r="G131" s="34">
        <f t="shared" si="22"/>
        <v>0</v>
      </c>
      <c r="H131" s="34">
        <f t="shared" si="21"/>
        <v>0</v>
      </c>
    </row>
    <row r="132" spans="2:8" x14ac:dyDescent="0.25">
      <c r="B132" s="47"/>
      <c r="C132" s="74"/>
      <c r="D132" s="34">
        <v>0.15</v>
      </c>
      <c r="E132" s="34">
        <f t="shared" si="23"/>
        <v>0</v>
      </c>
      <c r="F132" s="34"/>
      <c r="G132" s="34">
        <f t="shared" si="22"/>
        <v>0</v>
      </c>
      <c r="H132" s="34">
        <f t="shared" si="21"/>
        <v>0</v>
      </c>
    </row>
    <row r="133" spans="2:8" x14ac:dyDescent="0.25">
      <c r="B133" s="1"/>
      <c r="C133" s="74"/>
      <c r="D133" s="34">
        <v>0.15</v>
      </c>
      <c r="E133" s="34">
        <f t="shared" si="23"/>
        <v>0</v>
      </c>
      <c r="F133" s="34"/>
      <c r="G133" s="34">
        <f t="shared" ref="G133:G135" si="24">F133*D133</f>
        <v>0</v>
      </c>
      <c r="H133" s="34">
        <f t="shared" si="21"/>
        <v>0</v>
      </c>
    </row>
    <row r="134" spans="2:8" x14ac:dyDescent="0.25">
      <c r="B134" s="47"/>
      <c r="C134" s="74"/>
      <c r="D134" s="34"/>
      <c r="E134" s="34">
        <f t="shared" si="23"/>
        <v>0</v>
      </c>
      <c r="F134" s="34"/>
      <c r="G134" s="34">
        <f t="shared" si="24"/>
        <v>0</v>
      </c>
      <c r="H134" s="34">
        <f t="shared" si="21"/>
        <v>0</v>
      </c>
    </row>
    <row r="135" spans="2:8" x14ac:dyDescent="0.25">
      <c r="B135" s="130"/>
      <c r="C135" s="102">
        <f>SUM(C122:C134)</f>
        <v>24</v>
      </c>
      <c r="D135" s="102">
        <v>0.15</v>
      </c>
      <c r="E135" s="102">
        <f>SUM(E122:E134)</f>
        <v>3.3959999999999999</v>
      </c>
      <c r="F135" s="102">
        <f>SUM(F120:F134)</f>
        <v>10</v>
      </c>
      <c r="G135" s="102">
        <f t="shared" si="24"/>
        <v>1.5</v>
      </c>
      <c r="H135" s="102">
        <f t="shared" si="21"/>
        <v>0.22499999999999998</v>
      </c>
    </row>
    <row r="136" spans="2:8" ht="15.75" thickBot="1" x14ac:dyDescent="0.3">
      <c r="B136" s="5"/>
      <c r="C136" s="62"/>
      <c r="D136" s="63"/>
      <c r="E136" s="75" t="s">
        <v>84</v>
      </c>
      <c r="F136" s="76">
        <f>C135-F135</f>
        <v>14</v>
      </c>
      <c r="G136" s="77" t="s">
        <v>85</v>
      </c>
      <c r="H136" s="174">
        <f>(E120+E121+E135)-G135</f>
        <v>6.8960000000000008</v>
      </c>
    </row>
    <row r="138" spans="2:8" ht="15.75" thickBot="1" x14ac:dyDescent="0.3"/>
    <row r="139" spans="2:8" ht="56.25" customHeight="1" x14ac:dyDescent="0.25">
      <c r="B139" s="273" t="s">
        <v>216</v>
      </c>
      <c r="C139" s="274"/>
      <c r="D139" s="274"/>
      <c r="E139" s="274"/>
      <c r="F139" s="274"/>
      <c r="G139" s="274"/>
      <c r="H139" s="278"/>
    </row>
    <row r="140" spans="2:8" x14ac:dyDescent="0.25">
      <c r="B140" s="1" t="s">
        <v>63</v>
      </c>
      <c r="C140" s="78" t="s">
        <v>67</v>
      </c>
      <c r="D140" s="1" t="s">
        <v>70</v>
      </c>
      <c r="E140" s="34" t="s">
        <v>86</v>
      </c>
      <c r="F140" s="34" t="s">
        <v>123</v>
      </c>
      <c r="G140" s="34" t="s">
        <v>83</v>
      </c>
      <c r="H140" s="34"/>
    </row>
    <row r="141" spans="2:8" x14ac:dyDescent="0.25">
      <c r="B141" s="65" t="s">
        <v>82</v>
      </c>
      <c r="C141" s="119">
        <v>0</v>
      </c>
      <c r="D141" s="66"/>
      <c r="E141" s="66">
        <v>0</v>
      </c>
      <c r="F141" s="34"/>
      <c r="G141" s="34">
        <f>F141*0.08</f>
        <v>0</v>
      </c>
      <c r="H141" s="34">
        <f t="shared" ref="H141:H156" si="25">G141*D141</f>
        <v>0</v>
      </c>
    </row>
    <row r="142" spans="2:8" x14ac:dyDescent="0.25">
      <c r="B142" s="64" t="s">
        <v>87</v>
      </c>
      <c r="C142" s="50"/>
      <c r="D142" s="50"/>
      <c r="E142" s="50">
        <v>0</v>
      </c>
      <c r="F142" s="34"/>
      <c r="G142" s="34">
        <f t="shared" ref="G142:G153" si="26">F142*0.08</f>
        <v>0</v>
      </c>
      <c r="H142" s="34">
        <f t="shared" si="25"/>
        <v>0</v>
      </c>
    </row>
    <row r="143" spans="2:8" x14ac:dyDescent="0.25">
      <c r="B143" s="47">
        <v>46224</v>
      </c>
      <c r="C143" s="74">
        <v>60</v>
      </c>
      <c r="D143" s="34">
        <v>0.15</v>
      </c>
      <c r="E143" s="34">
        <f>C143*D143</f>
        <v>9</v>
      </c>
      <c r="F143" s="34"/>
      <c r="G143" s="34">
        <f t="shared" si="26"/>
        <v>0</v>
      </c>
      <c r="H143" s="34">
        <f t="shared" si="25"/>
        <v>0</v>
      </c>
    </row>
    <row r="144" spans="2:8" x14ac:dyDescent="0.25">
      <c r="B144" s="47"/>
      <c r="C144" s="74">
        <v>1</v>
      </c>
      <c r="D144" s="34">
        <v>5.3999999999999999E-2</v>
      </c>
      <c r="E144" s="34">
        <f>C144*D144</f>
        <v>5.3999999999999999E-2</v>
      </c>
      <c r="F144" s="34"/>
      <c r="G144" s="34">
        <f t="shared" si="26"/>
        <v>0</v>
      </c>
      <c r="H144" s="34">
        <f t="shared" si="25"/>
        <v>0</v>
      </c>
    </row>
    <row r="145" spans="2:8" x14ac:dyDescent="0.25">
      <c r="B145" s="47"/>
      <c r="C145" s="74">
        <v>1</v>
      </c>
      <c r="D145" s="34">
        <v>7.4999999999999997E-2</v>
      </c>
      <c r="E145" s="34">
        <f t="shared" ref="E145:E155" si="27">C145*D145</f>
        <v>7.4999999999999997E-2</v>
      </c>
      <c r="F145" s="34"/>
      <c r="G145" s="34">
        <f t="shared" si="26"/>
        <v>0</v>
      </c>
      <c r="H145" s="34">
        <f t="shared" si="25"/>
        <v>0</v>
      </c>
    </row>
    <row r="146" spans="2:8" x14ac:dyDescent="0.25">
      <c r="B146" s="47"/>
      <c r="C146" s="74">
        <v>1</v>
      </c>
      <c r="D146" s="34">
        <v>7.0999999999999994E-2</v>
      </c>
      <c r="E146" s="34">
        <f t="shared" si="27"/>
        <v>7.0999999999999994E-2</v>
      </c>
      <c r="F146" s="34"/>
      <c r="G146" s="34">
        <f t="shared" si="26"/>
        <v>0</v>
      </c>
      <c r="H146" s="34">
        <f t="shared" si="25"/>
        <v>0</v>
      </c>
    </row>
    <row r="147" spans="2:8" x14ac:dyDescent="0.25">
      <c r="B147" s="47">
        <v>46233</v>
      </c>
      <c r="C147" s="74"/>
      <c r="D147" s="34">
        <v>0.15</v>
      </c>
      <c r="E147" s="34">
        <f t="shared" si="27"/>
        <v>0</v>
      </c>
      <c r="F147" s="34">
        <v>5</v>
      </c>
      <c r="G147" s="34">
        <f>F147*0.15</f>
        <v>0.75</v>
      </c>
      <c r="H147" s="34">
        <f t="shared" si="25"/>
        <v>0.11249999999999999</v>
      </c>
    </row>
    <row r="148" spans="2:8" x14ac:dyDescent="0.25">
      <c r="B148" s="47"/>
      <c r="C148" s="74"/>
      <c r="D148" s="34">
        <v>0.15</v>
      </c>
      <c r="E148" s="34">
        <f t="shared" si="27"/>
        <v>0</v>
      </c>
      <c r="F148" s="34"/>
      <c r="G148" s="34">
        <f t="shared" si="26"/>
        <v>0</v>
      </c>
      <c r="H148" s="34">
        <f t="shared" si="25"/>
        <v>0</v>
      </c>
    </row>
    <row r="149" spans="2:8" x14ac:dyDescent="0.25">
      <c r="B149" s="47"/>
      <c r="C149" s="74"/>
      <c r="D149" s="34">
        <v>0.15</v>
      </c>
      <c r="E149" s="34">
        <f t="shared" si="27"/>
        <v>0</v>
      </c>
      <c r="F149" s="34"/>
      <c r="G149" s="34">
        <f t="shared" si="26"/>
        <v>0</v>
      </c>
      <c r="H149" s="34">
        <f t="shared" si="25"/>
        <v>0</v>
      </c>
    </row>
    <row r="150" spans="2:8" x14ac:dyDescent="0.25">
      <c r="B150" s="47"/>
      <c r="C150" s="74"/>
      <c r="D150" s="34">
        <v>0.15</v>
      </c>
      <c r="E150" s="34">
        <f t="shared" si="27"/>
        <v>0</v>
      </c>
      <c r="F150" s="34"/>
      <c r="G150" s="34">
        <f t="shared" si="26"/>
        <v>0</v>
      </c>
      <c r="H150" s="34">
        <f t="shared" si="25"/>
        <v>0</v>
      </c>
    </row>
    <row r="151" spans="2:8" x14ac:dyDescent="0.25">
      <c r="B151" s="47"/>
      <c r="C151" s="74"/>
      <c r="D151" s="34">
        <v>0.15</v>
      </c>
      <c r="E151" s="34">
        <f t="shared" si="27"/>
        <v>0</v>
      </c>
      <c r="F151" s="34"/>
      <c r="G151" s="34">
        <f t="shared" si="26"/>
        <v>0</v>
      </c>
      <c r="H151" s="34">
        <f t="shared" si="25"/>
        <v>0</v>
      </c>
    </row>
    <row r="152" spans="2:8" x14ac:dyDescent="0.25">
      <c r="B152" s="47"/>
      <c r="C152" s="74"/>
      <c r="D152" s="34">
        <v>0.15</v>
      </c>
      <c r="E152" s="34">
        <f t="shared" si="27"/>
        <v>0</v>
      </c>
      <c r="F152" s="34"/>
      <c r="G152" s="34">
        <f t="shared" si="26"/>
        <v>0</v>
      </c>
      <c r="H152" s="34">
        <f t="shared" si="25"/>
        <v>0</v>
      </c>
    </row>
    <row r="153" spans="2:8" x14ac:dyDescent="0.25">
      <c r="B153" s="47"/>
      <c r="C153" s="74"/>
      <c r="D153" s="34">
        <v>0.15</v>
      </c>
      <c r="E153" s="34">
        <f t="shared" si="27"/>
        <v>0</v>
      </c>
      <c r="F153" s="34"/>
      <c r="G153" s="34">
        <f t="shared" si="26"/>
        <v>0</v>
      </c>
      <c r="H153" s="34">
        <f t="shared" si="25"/>
        <v>0</v>
      </c>
    </row>
    <row r="154" spans="2:8" x14ac:dyDescent="0.25">
      <c r="B154" s="1"/>
      <c r="C154" s="74"/>
      <c r="D154" s="34">
        <v>0.15</v>
      </c>
      <c r="E154" s="34">
        <f t="shared" si="27"/>
        <v>0</v>
      </c>
      <c r="F154" s="34"/>
      <c r="G154" s="34">
        <f t="shared" ref="G154:G156" si="28">F154*D154</f>
        <v>0</v>
      </c>
      <c r="H154" s="34">
        <f t="shared" si="25"/>
        <v>0</v>
      </c>
    </row>
    <row r="155" spans="2:8" x14ac:dyDescent="0.25">
      <c r="B155" s="47"/>
      <c r="C155" s="74"/>
      <c r="D155" s="34">
        <v>0.15</v>
      </c>
      <c r="E155" s="34">
        <f t="shared" si="27"/>
        <v>0</v>
      </c>
      <c r="F155" s="34"/>
      <c r="G155" s="34">
        <f t="shared" si="28"/>
        <v>0</v>
      </c>
      <c r="H155" s="34">
        <f t="shared" si="25"/>
        <v>0</v>
      </c>
    </row>
    <row r="156" spans="2:8" x14ac:dyDescent="0.25">
      <c r="B156" s="130"/>
      <c r="C156" s="102">
        <f>SUM(C143:C155)</f>
        <v>63</v>
      </c>
      <c r="D156" s="102">
        <v>0.15</v>
      </c>
      <c r="E156" s="102">
        <f>SUM(E143:E155)</f>
        <v>9.1999999999999993</v>
      </c>
      <c r="F156" s="102">
        <f>SUM(F141:F155)</f>
        <v>5</v>
      </c>
      <c r="G156" s="102">
        <f t="shared" si="28"/>
        <v>0.75</v>
      </c>
      <c r="H156" s="102">
        <f t="shared" si="25"/>
        <v>0.11249999999999999</v>
      </c>
    </row>
    <row r="157" spans="2:8" ht="15.75" thickBot="1" x14ac:dyDescent="0.3">
      <c r="B157" s="5"/>
      <c r="C157" s="62"/>
      <c r="D157" s="63"/>
      <c r="E157" s="75" t="s">
        <v>84</v>
      </c>
      <c r="F157" s="76">
        <f>C156-F156</f>
        <v>58</v>
      </c>
      <c r="G157" s="77" t="s">
        <v>85</v>
      </c>
      <c r="H157" s="174">
        <f>(E141+E142+E156)-G156</f>
        <v>8.4499999999999993</v>
      </c>
    </row>
    <row r="159" spans="2:8" ht="15.75" thickBot="1" x14ac:dyDescent="0.3"/>
    <row r="160" spans="2:8" ht="52.5" customHeight="1" x14ac:dyDescent="0.25">
      <c r="B160" s="273" t="s">
        <v>162</v>
      </c>
      <c r="C160" s="274"/>
      <c r="D160" s="274"/>
      <c r="E160" s="274"/>
      <c r="F160" s="274"/>
      <c r="G160" s="274"/>
      <c r="H160" s="278"/>
    </row>
    <row r="161" spans="2:8" x14ac:dyDescent="0.25">
      <c r="B161" s="1" t="s">
        <v>63</v>
      </c>
      <c r="C161" s="78" t="s">
        <v>67</v>
      </c>
      <c r="D161" s="1" t="s">
        <v>70</v>
      </c>
      <c r="E161" s="34" t="s">
        <v>86</v>
      </c>
      <c r="F161" s="34" t="s">
        <v>123</v>
      </c>
      <c r="G161" s="34" t="s">
        <v>83</v>
      </c>
      <c r="H161" s="34"/>
    </row>
    <row r="162" spans="2:8" x14ac:dyDescent="0.25">
      <c r="B162" s="65" t="s">
        <v>82</v>
      </c>
      <c r="C162" s="119">
        <v>0</v>
      </c>
      <c r="D162" s="66"/>
      <c r="E162" s="66">
        <v>0</v>
      </c>
      <c r="F162" s="34"/>
      <c r="G162" s="34">
        <f>F162*0.08</f>
        <v>0</v>
      </c>
      <c r="H162" s="34">
        <f t="shared" ref="H162:H177" si="29">G162*D162</f>
        <v>0</v>
      </c>
    </row>
    <row r="163" spans="2:8" x14ac:dyDescent="0.25">
      <c r="B163" s="64" t="s">
        <v>87</v>
      </c>
      <c r="C163" s="50">
        <v>0</v>
      </c>
      <c r="D163" s="50"/>
      <c r="E163" s="50">
        <v>0</v>
      </c>
      <c r="F163" s="34"/>
      <c r="G163" s="34">
        <f t="shared" ref="G163:G174" si="30">F163*0.08</f>
        <v>0</v>
      </c>
      <c r="H163" s="34">
        <f t="shared" si="29"/>
        <v>0</v>
      </c>
    </row>
    <row r="164" spans="2:8" x14ac:dyDescent="0.25">
      <c r="B164" s="47">
        <v>46224</v>
      </c>
      <c r="C164" s="74">
        <v>23</v>
      </c>
      <c r="D164" s="34">
        <v>0.15</v>
      </c>
      <c r="E164" s="34">
        <f>C164*D164</f>
        <v>3.4499999999999997</v>
      </c>
      <c r="F164" s="34"/>
      <c r="G164" s="34">
        <f t="shared" si="30"/>
        <v>0</v>
      </c>
      <c r="H164" s="34">
        <f t="shared" si="29"/>
        <v>0</v>
      </c>
    </row>
    <row r="165" spans="2:8" x14ac:dyDescent="0.25">
      <c r="B165" s="47"/>
      <c r="C165" s="74">
        <v>1</v>
      </c>
      <c r="D165" s="34">
        <v>0.06</v>
      </c>
      <c r="E165" s="34">
        <f>C165*D165</f>
        <v>0.06</v>
      </c>
      <c r="F165" s="34"/>
      <c r="G165" s="34">
        <f t="shared" si="30"/>
        <v>0</v>
      </c>
      <c r="H165" s="34">
        <f t="shared" si="29"/>
        <v>0</v>
      </c>
    </row>
    <row r="166" spans="2:8" x14ac:dyDescent="0.25">
      <c r="B166" s="47"/>
      <c r="C166" s="74"/>
      <c r="D166" s="34">
        <v>7.4999999999999997E-2</v>
      </c>
      <c r="E166" s="34">
        <f t="shared" ref="E166:E176" si="31">C166*D166</f>
        <v>0</v>
      </c>
      <c r="F166" s="34"/>
      <c r="G166" s="34">
        <f t="shared" si="30"/>
        <v>0</v>
      </c>
      <c r="H166" s="34">
        <f t="shared" si="29"/>
        <v>0</v>
      </c>
    </row>
    <row r="167" spans="2:8" x14ac:dyDescent="0.25">
      <c r="B167" s="47">
        <v>46232</v>
      </c>
      <c r="C167" s="74"/>
      <c r="D167" s="34">
        <v>0.15</v>
      </c>
      <c r="E167" s="34">
        <f t="shared" si="31"/>
        <v>0</v>
      </c>
      <c r="F167" s="34">
        <v>5</v>
      </c>
      <c r="G167" s="34">
        <f>F167*0.15</f>
        <v>0.75</v>
      </c>
      <c r="H167" s="34">
        <f t="shared" si="29"/>
        <v>0.11249999999999999</v>
      </c>
    </row>
    <row r="168" spans="2:8" x14ac:dyDescent="0.25">
      <c r="B168" s="47">
        <v>46245</v>
      </c>
      <c r="C168" s="74"/>
      <c r="D168" s="34">
        <v>0.15</v>
      </c>
      <c r="E168" s="34">
        <f t="shared" si="31"/>
        <v>0</v>
      </c>
      <c r="F168" s="34">
        <v>18</v>
      </c>
      <c r="G168" s="34">
        <f>F168*0.15</f>
        <v>2.6999999999999997</v>
      </c>
      <c r="H168" s="34">
        <f t="shared" si="29"/>
        <v>0.40499999999999997</v>
      </c>
    </row>
    <row r="169" spans="2:8" x14ac:dyDescent="0.25">
      <c r="B169" s="47"/>
      <c r="C169" s="74"/>
      <c r="D169" s="34">
        <v>0.15</v>
      </c>
      <c r="E169" s="34">
        <f t="shared" si="31"/>
        <v>0</v>
      </c>
      <c r="F169" s="34"/>
      <c r="G169" s="34">
        <f t="shared" si="30"/>
        <v>0</v>
      </c>
      <c r="H169" s="34">
        <f t="shared" si="29"/>
        <v>0</v>
      </c>
    </row>
    <row r="170" spans="2:8" x14ac:dyDescent="0.25">
      <c r="B170" s="47"/>
      <c r="C170" s="74"/>
      <c r="D170" s="34">
        <v>0.15</v>
      </c>
      <c r="E170" s="34">
        <f t="shared" si="31"/>
        <v>0</v>
      </c>
      <c r="F170" s="34"/>
      <c r="G170" s="34">
        <f t="shared" si="30"/>
        <v>0</v>
      </c>
      <c r="H170" s="34">
        <f t="shared" si="29"/>
        <v>0</v>
      </c>
    </row>
    <row r="171" spans="2:8" x14ac:dyDescent="0.25">
      <c r="B171" s="47"/>
      <c r="C171" s="74"/>
      <c r="D171" s="34">
        <v>0.15</v>
      </c>
      <c r="E171" s="34">
        <f t="shared" si="31"/>
        <v>0</v>
      </c>
      <c r="F171" s="34"/>
      <c r="G171" s="34">
        <f t="shared" si="30"/>
        <v>0</v>
      </c>
      <c r="H171" s="34">
        <f t="shared" si="29"/>
        <v>0</v>
      </c>
    </row>
    <row r="172" spans="2:8" x14ac:dyDescent="0.25">
      <c r="B172" s="47"/>
      <c r="C172" s="74"/>
      <c r="D172" s="34">
        <v>0.15</v>
      </c>
      <c r="E172" s="34">
        <f t="shared" si="31"/>
        <v>0</v>
      </c>
      <c r="F172" s="34"/>
      <c r="G172" s="34">
        <f t="shared" si="30"/>
        <v>0</v>
      </c>
      <c r="H172" s="34">
        <f t="shared" si="29"/>
        <v>0</v>
      </c>
    </row>
    <row r="173" spans="2:8" x14ac:dyDescent="0.25">
      <c r="B173" s="47"/>
      <c r="C173" s="74"/>
      <c r="D173" s="34">
        <v>0.15</v>
      </c>
      <c r="E173" s="34">
        <f t="shared" si="31"/>
        <v>0</v>
      </c>
      <c r="F173" s="34"/>
      <c r="G173" s="34">
        <f t="shared" si="30"/>
        <v>0</v>
      </c>
      <c r="H173" s="34">
        <f t="shared" si="29"/>
        <v>0</v>
      </c>
    </row>
    <row r="174" spans="2:8" x14ac:dyDescent="0.25">
      <c r="B174" s="47"/>
      <c r="C174" s="74"/>
      <c r="D174" s="34">
        <v>0.15</v>
      </c>
      <c r="E174" s="34">
        <f t="shared" si="31"/>
        <v>0</v>
      </c>
      <c r="F174" s="34"/>
      <c r="G174" s="34">
        <f t="shared" si="30"/>
        <v>0</v>
      </c>
      <c r="H174" s="34">
        <f t="shared" si="29"/>
        <v>0</v>
      </c>
    </row>
    <row r="175" spans="2:8" x14ac:dyDescent="0.25">
      <c r="B175" s="1"/>
      <c r="C175" s="74"/>
      <c r="D175" s="34">
        <v>0.15</v>
      </c>
      <c r="E175" s="34">
        <f t="shared" si="31"/>
        <v>0</v>
      </c>
      <c r="F175" s="34"/>
      <c r="G175" s="34">
        <f t="shared" ref="G175:G176" si="32">F175*D175</f>
        <v>0</v>
      </c>
      <c r="H175" s="34">
        <f t="shared" si="29"/>
        <v>0</v>
      </c>
    </row>
    <row r="176" spans="2:8" x14ac:dyDescent="0.25">
      <c r="B176" s="47"/>
      <c r="C176" s="74"/>
      <c r="D176" s="34">
        <v>0.15</v>
      </c>
      <c r="E176" s="34">
        <f t="shared" si="31"/>
        <v>0</v>
      </c>
      <c r="F176" s="34"/>
      <c r="G176" s="34">
        <f t="shared" si="32"/>
        <v>0</v>
      </c>
      <c r="H176" s="34">
        <f t="shared" si="29"/>
        <v>0</v>
      </c>
    </row>
    <row r="177" spans="2:8" x14ac:dyDescent="0.25">
      <c r="B177" s="130"/>
      <c r="C177" s="102">
        <f>SUM(C164:C176)</f>
        <v>24</v>
      </c>
      <c r="D177" s="102">
        <v>0.08</v>
      </c>
      <c r="E177" s="102">
        <f>SUM(E164:E176)</f>
        <v>3.51</v>
      </c>
      <c r="F177" s="102">
        <f>SUM(F162:F176)</f>
        <v>23</v>
      </c>
      <c r="G177" s="102">
        <f>SUM(G162:G176)</f>
        <v>3.4499999999999997</v>
      </c>
      <c r="H177" s="102">
        <f t="shared" si="29"/>
        <v>0.27599999999999997</v>
      </c>
    </row>
    <row r="178" spans="2:8" ht="15.75" thickBot="1" x14ac:dyDescent="0.3">
      <c r="B178" s="5"/>
      <c r="C178" s="62"/>
      <c r="D178" s="63"/>
      <c r="E178" s="75" t="s">
        <v>84</v>
      </c>
      <c r="F178" s="76">
        <f>C177-F177</f>
        <v>1</v>
      </c>
      <c r="G178" s="77" t="s">
        <v>85</v>
      </c>
      <c r="H178" s="174">
        <f>(E162+E163+E177)-G177</f>
        <v>6.0000000000000053E-2</v>
      </c>
    </row>
    <row r="180" spans="2:8" ht="15.75" thickBot="1" x14ac:dyDescent="0.3"/>
    <row r="181" spans="2:8" ht="62.25" customHeight="1" x14ac:dyDescent="0.25">
      <c r="B181" s="273" t="s">
        <v>43</v>
      </c>
      <c r="C181" s="274"/>
      <c r="D181" s="274"/>
      <c r="E181" s="274"/>
      <c r="F181" s="274"/>
      <c r="G181" s="274"/>
      <c r="H181" s="278"/>
    </row>
    <row r="182" spans="2:8" x14ac:dyDescent="0.25">
      <c r="B182" s="1" t="s">
        <v>63</v>
      </c>
      <c r="C182" s="78" t="s">
        <v>67</v>
      </c>
      <c r="D182" s="1" t="s">
        <v>70</v>
      </c>
      <c r="E182" s="34" t="s">
        <v>86</v>
      </c>
      <c r="F182" s="34" t="s">
        <v>123</v>
      </c>
      <c r="G182" s="34" t="s">
        <v>83</v>
      </c>
      <c r="H182" s="34"/>
    </row>
    <row r="183" spans="2:8" x14ac:dyDescent="0.25">
      <c r="B183" s="65" t="s">
        <v>82</v>
      </c>
      <c r="C183" s="119">
        <v>0</v>
      </c>
      <c r="D183" s="66"/>
      <c r="E183" s="66">
        <v>0</v>
      </c>
      <c r="F183" s="34"/>
      <c r="G183" s="34">
        <f>F183*0.08</f>
        <v>0</v>
      </c>
      <c r="H183" s="34">
        <f t="shared" ref="H183:H198" si="33">G183*D183</f>
        <v>0</v>
      </c>
    </row>
    <row r="184" spans="2:8" x14ac:dyDescent="0.25">
      <c r="B184" s="64" t="s">
        <v>87</v>
      </c>
      <c r="C184" s="50">
        <v>0</v>
      </c>
      <c r="D184" s="50"/>
      <c r="E184" s="50">
        <v>19.23</v>
      </c>
      <c r="F184" s="34"/>
      <c r="G184" s="34">
        <f t="shared" ref="G184:G195" si="34">F184*0.08</f>
        <v>0</v>
      </c>
      <c r="H184" s="34">
        <f t="shared" si="33"/>
        <v>0</v>
      </c>
    </row>
    <row r="185" spans="2:8" x14ac:dyDescent="0.25">
      <c r="B185" s="47">
        <v>46224</v>
      </c>
      <c r="C185" s="74">
        <v>39</v>
      </c>
      <c r="D185" s="34">
        <v>0.15</v>
      </c>
      <c r="E185" s="34">
        <f>C185*D185</f>
        <v>5.85</v>
      </c>
      <c r="F185" s="34"/>
      <c r="G185" s="34">
        <f t="shared" si="34"/>
        <v>0</v>
      </c>
      <c r="H185" s="34">
        <f t="shared" si="33"/>
        <v>0</v>
      </c>
    </row>
    <row r="186" spans="2:8" x14ac:dyDescent="0.25">
      <c r="B186" s="47">
        <v>46230</v>
      </c>
      <c r="C186" s="74"/>
      <c r="D186" s="34">
        <v>0.15</v>
      </c>
      <c r="E186" s="34">
        <f>C186*D186</f>
        <v>0</v>
      </c>
      <c r="F186" s="34">
        <v>20</v>
      </c>
      <c r="G186" s="34">
        <f>F186*0.15</f>
        <v>3</v>
      </c>
      <c r="H186" s="34">
        <f t="shared" si="33"/>
        <v>0.44999999999999996</v>
      </c>
    </row>
    <row r="187" spans="2:8" x14ac:dyDescent="0.25">
      <c r="B187" s="47">
        <v>46231</v>
      </c>
      <c r="C187" s="74">
        <v>2</v>
      </c>
      <c r="D187" s="34">
        <v>0.15</v>
      </c>
      <c r="E187" s="34">
        <f t="shared" ref="E187:E197" si="35">C187*D187</f>
        <v>0.3</v>
      </c>
      <c r="F187" s="34"/>
      <c r="G187" s="34">
        <f t="shared" si="34"/>
        <v>0</v>
      </c>
      <c r="H187" s="34">
        <f t="shared" si="33"/>
        <v>0</v>
      </c>
    </row>
    <row r="188" spans="2:8" x14ac:dyDescent="0.25">
      <c r="B188" s="47"/>
      <c r="C188" s="74"/>
      <c r="D188" s="34">
        <v>0.15</v>
      </c>
      <c r="E188" s="34">
        <f t="shared" si="35"/>
        <v>0</v>
      </c>
      <c r="F188" s="34"/>
      <c r="G188" s="34">
        <f>F188*0.075</f>
        <v>0</v>
      </c>
      <c r="H188" s="34">
        <f t="shared" si="33"/>
        <v>0</v>
      </c>
    </row>
    <row r="189" spans="2:8" x14ac:dyDescent="0.25">
      <c r="B189" s="47"/>
      <c r="C189" s="74"/>
      <c r="D189" s="34">
        <v>0.15</v>
      </c>
      <c r="E189" s="34">
        <f t="shared" si="35"/>
        <v>0</v>
      </c>
      <c r="F189" s="34"/>
      <c r="G189" s="34">
        <f t="shared" si="34"/>
        <v>0</v>
      </c>
      <c r="H189" s="34">
        <f t="shared" si="33"/>
        <v>0</v>
      </c>
    </row>
    <row r="190" spans="2:8" x14ac:dyDescent="0.25">
      <c r="B190" s="47"/>
      <c r="C190" s="74"/>
      <c r="D190" s="34">
        <v>0.15</v>
      </c>
      <c r="E190" s="34">
        <f t="shared" si="35"/>
        <v>0</v>
      </c>
      <c r="F190" s="34"/>
      <c r="G190" s="34">
        <f t="shared" si="34"/>
        <v>0</v>
      </c>
      <c r="H190" s="34">
        <f t="shared" si="33"/>
        <v>0</v>
      </c>
    </row>
    <row r="191" spans="2:8" x14ac:dyDescent="0.25">
      <c r="B191" s="47"/>
      <c r="C191" s="74"/>
      <c r="D191" s="34">
        <v>0.15</v>
      </c>
      <c r="E191" s="34">
        <f t="shared" si="35"/>
        <v>0</v>
      </c>
      <c r="F191" s="34"/>
      <c r="G191" s="34">
        <f t="shared" si="34"/>
        <v>0</v>
      </c>
      <c r="H191" s="34">
        <f t="shared" si="33"/>
        <v>0</v>
      </c>
    </row>
    <row r="192" spans="2:8" x14ac:dyDescent="0.25">
      <c r="B192" s="47"/>
      <c r="C192" s="74"/>
      <c r="D192" s="34">
        <v>0.15</v>
      </c>
      <c r="E192" s="34">
        <f t="shared" si="35"/>
        <v>0</v>
      </c>
      <c r="F192" s="34"/>
      <c r="G192" s="34">
        <f t="shared" si="34"/>
        <v>0</v>
      </c>
      <c r="H192" s="34">
        <f t="shared" si="33"/>
        <v>0</v>
      </c>
    </row>
    <row r="193" spans="2:8" x14ac:dyDescent="0.25">
      <c r="B193" s="47"/>
      <c r="C193" s="74"/>
      <c r="D193" s="34">
        <v>0.15</v>
      </c>
      <c r="E193" s="34">
        <f t="shared" si="35"/>
        <v>0</v>
      </c>
      <c r="F193" s="34"/>
      <c r="G193" s="34">
        <f t="shared" si="34"/>
        <v>0</v>
      </c>
      <c r="H193" s="34">
        <f t="shared" si="33"/>
        <v>0</v>
      </c>
    </row>
    <row r="194" spans="2:8" x14ac:dyDescent="0.25">
      <c r="B194" s="47"/>
      <c r="C194" s="74"/>
      <c r="D194" s="34">
        <v>0.15</v>
      </c>
      <c r="E194" s="34">
        <f t="shared" si="35"/>
        <v>0</v>
      </c>
      <c r="F194" s="34"/>
      <c r="G194" s="34">
        <f t="shared" si="34"/>
        <v>0</v>
      </c>
      <c r="H194" s="34">
        <f t="shared" si="33"/>
        <v>0</v>
      </c>
    </row>
    <row r="195" spans="2:8" x14ac:dyDescent="0.25">
      <c r="B195" s="47"/>
      <c r="C195" s="74"/>
      <c r="D195" s="34">
        <v>0.15</v>
      </c>
      <c r="E195" s="34">
        <f t="shared" si="35"/>
        <v>0</v>
      </c>
      <c r="F195" s="34"/>
      <c r="G195" s="34">
        <f t="shared" si="34"/>
        <v>0</v>
      </c>
      <c r="H195" s="34">
        <f t="shared" si="33"/>
        <v>0</v>
      </c>
    </row>
    <row r="196" spans="2:8" x14ac:dyDescent="0.25">
      <c r="B196" s="1"/>
      <c r="C196" s="74"/>
      <c r="D196" s="34">
        <v>0.15</v>
      </c>
      <c r="E196" s="34">
        <f t="shared" si="35"/>
        <v>0</v>
      </c>
      <c r="F196" s="34"/>
      <c r="G196" s="34">
        <f t="shared" ref="G196:G197" si="36">F196*D196</f>
        <v>0</v>
      </c>
      <c r="H196" s="34">
        <f t="shared" si="33"/>
        <v>0</v>
      </c>
    </row>
    <row r="197" spans="2:8" x14ac:dyDescent="0.25">
      <c r="B197" s="47"/>
      <c r="C197" s="74"/>
      <c r="D197" s="34">
        <v>0.15</v>
      </c>
      <c r="E197" s="34">
        <f t="shared" si="35"/>
        <v>0</v>
      </c>
      <c r="F197" s="34"/>
      <c r="G197" s="34">
        <f t="shared" si="36"/>
        <v>0</v>
      </c>
      <c r="H197" s="34">
        <f t="shared" si="33"/>
        <v>0</v>
      </c>
    </row>
    <row r="198" spans="2:8" x14ac:dyDescent="0.25">
      <c r="B198" s="130"/>
      <c r="C198" s="102">
        <f>SUM(C185:C197)</f>
        <v>41</v>
      </c>
      <c r="D198" s="102">
        <v>0.15</v>
      </c>
      <c r="E198" s="102">
        <f>SUM(E185:E197)</f>
        <v>6.1499999999999995</v>
      </c>
      <c r="F198" s="102">
        <f>SUM(F183:F197)</f>
        <v>20</v>
      </c>
      <c r="G198" s="102">
        <f>SUM(G183:G197)</f>
        <v>3</v>
      </c>
      <c r="H198" s="102">
        <f t="shared" si="33"/>
        <v>0.44999999999999996</v>
      </c>
    </row>
    <row r="199" spans="2:8" ht="15.75" thickBot="1" x14ac:dyDescent="0.3">
      <c r="B199" s="5"/>
      <c r="C199" s="62"/>
      <c r="D199" s="63"/>
      <c r="E199" s="75" t="s">
        <v>84</v>
      </c>
      <c r="F199" s="76">
        <f>C198-F198</f>
        <v>21</v>
      </c>
      <c r="G199" s="77" t="s">
        <v>85</v>
      </c>
      <c r="H199" s="174">
        <f>(E183+E184+E198)-G198</f>
        <v>22.38</v>
      </c>
    </row>
    <row r="201" spans="2:8" ht="15.75" thickBot="1" x14ac:dyDescent="0.3"/>
    <row r="202" spans="2:8" ht="57.75" customHeight="1" x14ac:dyDescent="0.25">
      <c r="B202" s="273" t="s">
        <v>44</v>
      </c>
      <c r="C202" s="274"/>
      <c r="D202" s="274"/>
      <c r="E202" s="274"/>
      <c r="F202" s="274"/>
      <c r="G202" s="274"/>
      <c r="H202" s="278"/>
    </row>
    <row r="203" spans="2:8" x14ac:dyDescent="0.25">
      <c r="B203" s="1" t="s">
        <v>63</v>
      </c>
      <c r="C203" s="78" t="s">
        <v>67</v>
      </c>
      <c r="D203" s="1" t="s">
        <v>70</v>
      </c>
      <c r="E203" s="34" t="s">
        <v>86</v>
      </c>
      <c r="F203" s="34" t="s">
        <v>123</v>
      </c>
      <c r="G203" s="34" t="s">
        <v>83</v>
      </c>
      <c r="H203" s="34"/>
    </row>
    <row r="204" spans="2:8" x14ac:dyDescent="0.25">
      <c r="B204" s="65" t="s">
        <v>82</v>
      </c>
      <c r="C204" s="119">
        <v>0</v>
      </c>
      <c r="D204" s="66"/>
      <c r="E204" s="66">
        <v>75</v>
      </c>
      <c r="F204" s="34"/>
      <c r="G204" s="34">
        <f>F204*0.08</f>
        <v>0</v>
      </c>
      <c r="H204" s="34">
        <f t="shared" ref="H204:H219" si="37">G204*D204</f>
        <v>0</v>
      </c>
    </row>
    <row r="205" spans="2:8" x14ac:dyDescent="0.25">
      <c r="B205" s="64" t="s">
        <v>87</v>
      </c>
      <c r="C205" s="50">
        <v>0</v>
      </c>
      <c r="D205" s="50"/>
      <c r="E205" s="50">
        <v>5.0549999999999997</v>
      </c>
      <c r="F205" s="34"/>
      <c r="G205" s="34">
        <f t="shared" ref="G205:G216" si="38">F205*0.08</f>
        <v>0</v>
      </c>
      <c r="H205" s="34">
        <f t="shared" si="37"/>
        <v>0</v>
      </c>
    </row>
    <row r="206" spans="2:8" x14ac:dyDescent="0.25">
      <c r="B206" s="47">
        <v>46225</v>
      </c>
      <c r="C206" s="74">
        <v>50</v>
      </c>
      <c r="D206" s="34">
        <v>0.15</v>
      </c>
      <c r="E206" s="34">
        <f>C206*D206</f>
        <v>7.5</v>
      </c>
      <c r="F206" s="34"/>
      <c r="G206" s="34">
        <f t="shared" si="38"/>
        <v>0</v>
      </c>
      <c r="H206" s="34">
        <f t="shared" si="37"/>
        <v>0</v>
      </c>
    </row>
    <row r="207" spans="2:8" x14ac:dyDescent="0.25">
      <c r="B207" s="47"/>
      <c r="C207" s="74"/>
      <c r="D207" s="34">
        <v>0.15</v>
      </c>
      <c r="E207" s="34">
        <f>C207*D207</f>
        <v>0</v>
      </c>
      <c r="F207" s="34"/>
      <c r="G207" s="34">
        <f>F207*0.15</f>
        <v>0</v>
      </c>
      <c r="H207" s="34">
        <f t="shared" si="37"/>
        <v>0</v>
      </c>
    </row>
    <row r="208" spans="2:8" x14ac:dyDescent="0.25">
      <c r="B208" s="47"/>
      <c r="C208" s="74"/>
      <c r="D208" s="34">
        <v>0.15</v>
      </c>
      <c r="E208" s="34">
        <f t="shared" ref="E208:E218" si="39">C208*D208</f>
        <v>0</v>
      </c>
      <c r="F208" s="34"/>
      <c r="G208" s="34">
        <f>F208*0.15</f>
        <v>0</v>
      </c>
      <c r="H208" s="34">
        <f t="shared" si="37"/>
        <v>0</v>
      </c>
    </row>
    <row r="209" spans="2:8" x14ac:dyDescent="0.25">
      <c r="B209" s="47"/>
      <c r="C209" s="74"/>
      <c r="D209" s="34">
        <v>0.15</v>
      </c>
      <c r="E209" s="34">
        <f t="shared" si="39"/>
        <v>0</v>
      </c>
      <c r="F209" s="34"/>
      <c r="G209" s="34">
        <f t="shared" si="38"/>
        <v>0</v>
      </c>
      <c r="H209" s="34">
        <f t="shared" si="37"/>
        <v>0</v>
      </c>
    </row>
    <row r="210" spans="2:8" x14ac:dyDescent="0.25">
      <c r="B210" s="47"/>
      <c r="C210" s="74"/>
      <c r="D210" s="34">
        <v>0.15</v>
      </c>
      <c r="E210" s="34">
        <f t="shared" si="39"/>
        <v>0</v>
      </c>
      <c r="F210" s="34"/>
      <c r="G210" s="34">
        <f t="shared" si="38"/>
        <v>0</v>
      </c>
      <c r="H210" s="34">
        <f t="shared" si="37"/>
        <v>0</v>
      </c>
    </row>
    <row r="211" spans="2:8" x14ac:dyDescent="0.25">
      <c r="B211" s="47"/>
      <c r="C211" s="74"/>
      <c r="D211" s="34">
        <v>0.15</v>
      </c>
      <c r="E211" s="34">
        <f t="shared" si="39"/>
        <v>0</v>
      </c>
      <c r="F211" s="34"/>
      <c r="G211" s="34">
        <f t="shared" si="38"/>
        <v>0</v>
      </c>
      <c r="H211" s="34">
        <f t="shared" si="37"/>
        <v>0</v>
      </c>
    </row>
    <row r="212" spans="2:8" x14ac:dyDescent="0.25">
      <c r="B212" s="47"/>
      <c r="C212" s="74"/>
      <c r="D212" s="34">
        <v>0.15</v>
      </c>
      <c r="E212" s="34">
        <f t="shared" si="39"/>
        <v>0</v>
      </c>
      <c r="F212" s="34"/>
      <c r="G212" s="34">
        <f t="shared" si="38"/>
        <v>0</v>
      </c>
      <c r="H212" s="34">
        <f t="shared" si="37"/>
        <v>0</v>
      </c>
    </row>
    <row r="213" spans="2:8" x14ac:dyDescent="0.25">
      <c r="B213" s="47"/>
      <c r="C213" s="74"/>
      <c r="D213" s="34">
        <v>0.15</v>
      </c>
      <c r="E213" s="34">
        <f t="shared" si="39"/>
        <v>0</v>
      </c>
      <c r="F213" s="34"/>
      <c r="G213" s="34">
        <f t="shared" si="38"/>
        <v>0</v>
      </c>
      <c r="H213" s="34">
        <f t="shared" si="37"/>
        <v>0</v>
      </c>
    </row>
    <row r="214" spans="2:8" x14ac:dyDescent="0.25">
      <c r="B214" s="47"/>
      <c r="C214" s="74"/>
      <c r="D214" s="34">
        <v>0.15</v>
      </c>
      <c r="E214" s="34">
        <f t="shared" si="39"/>
        <v>0</v>
      </c>
      <c r="F214" s="34"/>
      <c r="G214" s="34">
        <f t="shared" si="38"/>
        <v>0</v>
      </c>
      <c r="H214" s="34">
        <f t="shared" si="37"/>
        <v>0</v>
      </c>
    </row>
    <row r="215" spans="2:8" x14ac:dyDescent="0.25">
      <c r="B215" s="47"/>
      <c r="C215" s="74"/>
      <c r="D215" s="34">
        <v>0.15</v>
      </c>
      <c r="E215" s="34">
        <f t="shared" si="39"/>
        <v>0</v>
      </c>
      <c r="F215" s="34"/>
      <c r="G215" s="34">
        <f t="shared" si="38"/>
        <v>0</v>
      </c>
      <c r="H215" s="34">
        <f t="shared" si="37"/>
        <v>0</v>
      </c>
    </row>
    <row r="216" spans="2:8" x14ac:dyDescent="0.25">
      <c r="B216" s="47"/>
      <c r="C216" s="74"/>
      <c r="D216" s="34">
        <v>0.15</v>
      </c>
      <c r="E216" s="34">
        <f t="shared" si="39"/>
        <v>0</v>
      </c>
      <c r="F216" s="34"/>
      <c r="G216" s="34">
        <f t="shared" si="38"/>
        <v>0</v>
      </c>
      <c r="H216" s="34">
        <f t="shared" si="37"/>
        <v>0</v>
      </c>
    </row>
    <row r="217" spans="2:8" x14ac:dyDescent="0.25">
      <c r="B217" s="1"/>
      <c r="C217" s="74"/>
      <c r="D217" s="34">
        <v>0.15</v>
      </c>
      <c r="E217" s="34">
        <f t="shared" si="39"/>
        <v>0</v>
      </c>
      <c r="F217" s="34"/>
      <c r="G217" s="34">
        <f t="shared" ref="G217:G219" si="40">F217*D217</f>
        <v>0</v>
      </c>
      <c r="H217" s="34">
        <f t="shared" si="37"/>
        <v>0</v>
      </c>
    </row>
    <row r="218" spans="2:8" x14ac:dyDescent="0.25">
      <c r="B218" s="47"/>
      <c r="C218" s="74"/>
      <c r="D218" s="34">
        <v>0.15</v>
      </c>
      <c r="E218" s="34">
        <f t="shared" si="39"/>
        <v>0</v>
      </c>
      <c r="F218" s="34"/>
      <c r="G218" s="34">
        <f t="shared" si="40"/>
        <v>0</v>
      </c>
      <c r="H218" s="34">
        <f t="shared" si="37"/>
        <v>0</v>
      </c>
    </row>
    <row r="219" spans="2:8" x14ac:dyDescent="0.25">
      <c r="B219" s="130"/>
      <c r="C219" s="102">
        <f>SUM(C206:C218)</f>
        <v>50</v>
      </c>
      <c r="D219" s="102">
        <v>0.15</v>
      </c>
      <c r="E219" s="102">
        <f>SUM(E206:E218)</f>
        <v>7.5</v>
      </c>
      <c r="F219" s="102">
        <f>SUM(F204:F218)</f>
        <v>0</v>
      </c>
      <c r="G219" s="102">
        <f t="shared" si="40"/>
        <v>0</v>
      </c>
      <c r="H219" s="102">
        <f t="shared" si="37"/>
        <v>0</v>
      </c>
    </row>
    <row r="220" spans="2:8" ht="15.75" thickBot="1" x14ac:dyDescent="0.3">
      <c r="B220" s="5"/>
      <c r="C220" s="62"/>
      <c r="D220" s="63"/>
      <c r="E220" s="75" t="s">
        <v>84</v>
      </c>
      <c r="F220" s="76">
        <f>C219-F219</f>
        <v>50</v>
      </c>
      <c r="G220" s="77" t="s">
        <v>85</v>
      </c>
      <c r="H220" s="174">
        <f>(E204+E205+E219)-G219</f>
        <v>87.555000000000007</v>
      </c>
    </row>
    <row r="223" spans="2:8" ht="14.25" customHeight="1" x14ac:dyDescent="0.25"/>
    <row r="224" spans="2:8" ht="13.5" customHeight="1" thickBot="1" x14ac:dyDescent="0.3"/>
    <row r="225" spans="2:8" ht="60.75" customHeight="1" x14ac:dyDescent="0.25">
      <c r="B225" s="279" t="s">
        <v>205</v>
      </c>
      <c r="C225" s="280"/>
      <c r="D225" s="280"/>
      <c r="E225" s="280"/>
      <c r="F225" s="280"/>
      <c r="G225" s="280"/>
      <c r="H225" s="281"/>
    </row>
    <row r="226" spans="2:8" x14ac:dyDescent="0.25">
      <c r="B226" s="1" t="s">
        <v>63</v>
      </c>
      <c r="C226" s="78" t="s">
        <v>67</v>
      </c>
      <c r="D226" s="1" t="s">
        <v>70</v>
      </c>
      <c r="E226" s="34" t="s">
        <v>86</v>
      </c>
      <c r="F226" s="34" t="s">
        <v>123</v>
      </c>
      <c r="G226" s="34" t="s">
        <v>83</v>
      </c>
      <c r="H226" s="34"/>
    </row>
    <row r="227" spans="2:8" x14ac:dyDescent="0.25">
      <c r="B227" s="65" t="s">
        <v>82</v>
      </c>
      <c r="C227" s="119">
        <v>0</v>
      </c>
      <c r="D227" s="66"/>
      <c r="E227" s="66">
        <v>0</v>
      </c>
      <c r="F227" s="34"/>
      <c r="G227" s="34">
        <f>F227*0.08</f>
        <v>0</v>
      </c>
      <c r="H227" s="34">
        <f t="shared" ref="H227:H242" si="41">G227*D227</f>
        <v>0</v>
      </c>
    </row>
    <row r="228" spans="2:8" x14ac:dyDescent="0.25">
      <c r="B228" s="64" t="s">
        <v>87</v>
      </c>
      <c r="C228" s="50">
        <v>0</v>
      </c>
      <c r="D228" s="50"/>
      <c r="E228" s="50">
        <v>0</v>
      </c>
      <c r="F228" s="34"/>
      <c r="G228" s="34">
        <f t="shared" ref="G228:G239" si="42">F228*0.08</f>
        <v>0</v>
      </c>
      <c r="H228" s="34">
        <f t="shared" si="41"/>
        <v>0</v>
      </c>
    </row>
    <row r="229" spans="2:8" x14ac:dyDescent="0.25">
      <c r="B229" s="47">
        <v>46209</v>
      </c>
      <c r="C229" s="74">
        <v>5</v>
      </c>
      <c r="D229" s="34">
        <v>0.15</v>
      </c>
      <c r="E229" s="34">
        <f>C229*D229</f>
        <v>0.75</v>
      </c>
      <c r="F229" s="34"/>
      <c r="G229" s="34">
        <f t="shared" si="42"/>
        <v>0</v>
      </c>
      <c r="H229" s="34">
        <f t="shared" si="41"/>
        <v>0</v>
      </c>
    </row>
    <row r="230" spans="2:8" x14ac:dyDescent="0.25">
      <c r="B230" s="47"/>
      <c r="C230" s="74">
        <v>1</v>
      </c>
      <c r="D230" s="34">
        <v>9.4E-2</v>
      </c>
      <c r="E230" s="34">
        <f>C230*D230</f>
        <v>9.4E-2</v>
      </c>
      <c r="F230" s="34"/>
      <c r="G230" s="34">
        <f t="shared" si="42"/>
        <v>0</v>
      </c>
      <c r="H230" s="34">
        <f t="shared" si="41"/>
        <v>0</v>
      </c>
    </row>
    <row r="231" spans="2:8" x14ac:dyDescent="0.25">
      <c r="B231" s="47"/>
      <c r="C231" s="74"/>
      <c r="D231" s="34">
        <v>0.15</v>
      </c>
      <c r="E231" s="34">
        <f t="shared" ref="E231:E241" si="43">C231*D231</f>
        <v>0</v>
      </c>
      <c r="F231" s="34"/>
      <c r="G231" s="34">
        <f t="shared" si="42"/>
        <v>0</v>
      </c>
      <c r="H231" s="34">
        <f t="shared" si="41"/>
        <v>0</v>
      </c>
    </row>
    <row r="232" spans="2:8" x14ac:dyDescent="0.25">
      <c r="B232" s="47"/>
      <c r="C232" s="74"/>
      <c r="D232" s="34">
        <v>0.15</v>
      </c>
      <c r="E232" s="34">
        <f t="shared" si="43"/>
        <v>0</v>
      </c>
      <c r="F232" s="34"/>
      <c r="G232" s="34">
        <f t="shared" si="42"/>
        <v>0</v>
      </c>
      <c r="H232" s="34">
        <f t="shared" si="41"/>
        <v>0</v>
      </c>
    </row>
    <row r="233" spans="2:8" x14ac:dyDescent="0.25">
      <c r="B233" s="47"/>
      <c r="C233" s="74"/>
      <c r="D233" s="34">
        <v>0.15</v>
      </c>
      <c r="E233" s="34">
        <f t="shared" si="43"/>
        <v>0</v>
      </c>
      <c r="F233" s="34"/>
      <c r="G233" s="34">
        <f t="shared" si="42"/>
        <v>0</v>
      </c>
      <c r="H233" s="34">
        <f t="shared" si="41"/>
        <v>0</v>
      </c>
    </row>
    <row r="234" spans="2:8" x14ac:dyDescent="0.25">
      <c r="B234" s="47"/>
      <c r="C234" s="74"/>
      <c r="D234" s="34">
        <v>0.15</v>
      </c>
      <c r="E234" s="34">
        <f t="shared" si="43"/>
        <v>0</v>
      </c>
      <c r="F234" s="34"/>
      <c r="G234" s="34">
        <f t="shared" si="42"/>
        <v>0</v>
      </c>
      <c r="H234" s="34">
        <f t="shared" si="41"/>
        <v>0</v>
      </c>
    </row>
    <row r="235" spans="2:8" x14ac:dyDescent="0.25">
      <c r="B235" s="47"/>
      <c r="C235" s="74"/>
      <c r="D235" s="34">
        <v>0.15</v>
      </c>
      <c r="E235" s="34">
        <f t="shared" si="43"/>
        <v>0</v>
      </c>
      <c r="F235" s="34"/>
      <c r="G235" s="34">
        <f t="shared" si="42"/>
        <v>0</v>
      </c>
      <c r="H235" s="34">
        <f t="shared" si="41"/>
        <v>0</v>
      </c>
    </row>
    <row r="236" spans="2:8" x14ac:dyDescent="0.25">
      <c r="B236" s="47"/>
      <c r="C236" s="74"/>
      <c r="D236" s="34">
        <v>0.15</v>
      </c>
      <c r="E236" s="34">
        <f t="shared" si="43"/>
        <v>0</v>
      </c>
      <c r="F236" s="34"/>
      <c r="G236" s="34">
        <f t="shared" si="42"/>
        <v>0</v>
      </c>
      <c r="H236" s="34">
        <f t="shared" si="41"/>
        <v>0</v>
      </c>
    </row>
    <row r="237" spans="2:8" x14ac:dyDescent="0.25">
      <c r="B237" s="47"/>
      <c r="C237" s="74"/>
      <c r="D237" s="34">
        <v>0.15</v>
      </c>
      <c r="E237" s="34">
        <f t="shared" si="43"/>
        <v>0</v>
      </c>
      <c r="F237" s="34"/>
      <c r="G237" s="34">
        <f t="shared" si="42"/>
        <v>0</v>
      </c>
      <c r="H237" s="34">
        <f t="shared" si="41"/>
        <v>0</v>
      </c>
    </row>
    <row r="238" spans="2:8" x14ac:dyDescent="0.25">
      <c r="B238" s="47"/>
      <c r="C238" s="74"/>
      <c r="D238" s="34">
        <v>0.15</v>
      </c>
      <c r="E238" s="34">
        <f t="shared" si="43"/>
        <v>0</v>
      </c>
      <c r="F238" s="34"/>
      <c r="G238" s="34">
        <f t="shared" si="42"/>
        <v>0</v>
      </c>
      <c r="H238" s="34">
        <f t="shared" si="41"/>
        <v>0</v>
      </c>
    </row>
    <row r="239" spans="2:8" x14ac:dyDescent="0.25">
      <c r="B239" s="47"/>
      <c r="C239" s="74"/>
      <c r="D239" s="34">
        <v>0.15</v>
      </c>
      <c r="E239" s="34">
        <f t="shared" si="43"/>
        <v>0</v>
      </c>
      <c r="F239" s="34"/>
      <c r="G239" s="34">
        <f t="shared" si="42"/>
        <v>0</v>
      </c>
      <c r="H239" s="34">
        <f t="shared" si="41"/>
        <v>0</v>
      </c>
    </row>
    <row r="240" spans="2:8" x14ac:dyDescent="0.25">
      <c r="B240" s="1"/>
      <c r="C240" s="74"/>
      <c r="D240" s="34">
        <v>0.15</v>
      </c>
      <c r="E240" s="34">
        <f t="shared" si="43"/>
        <v>0</v>
      </c>
      <c r="F240" s="34"/>
      <c r="G240" s="34">
        <f t="shared" ref="G240:G242" si="44">F240*D240</f>
        <v>0</v>
      </c>
      <c r="H240" s="34">
        <f t="shared" si="41"/>
        <v>0</v>
      </c>
    </row>
    <row r="241" spans="2:8" x14ac:dyDescent="0.25">
      <c r="B241" s="47"/>
      <c r="C241" s="74"/>
      <c r="D241" s="34">
        <v>0.15</v>
      </c>
      <c r="E241" s="34">
        <f t="shared" si="43"/>
        <v>0</v>
      </c>
      <c r="F241" s="34"/>
      <c r="G241" s="34">
        <f t="shared" si="44"/>
        <v>0</v>
      </c>
      <c r="H241" s="34">
        <f t="shared" si="41"/>
        <v>0</v>
      </c>
    </row>
    <row r="242" spans="2:8" x14ac:dyDescent="0.25">
      <c r="B242" s="130"/>
      <c r="C242" s="102">
        <f>SUM(C229:C241)</f>
        <v>6</v>
      </c>
      <c r="D242" s="102">
        <v>0.08</v>
      </c>
      <c r="E242" s="102">
        <f>SUM(E229:E241)</f>
        <v>0.84399999999999997</v>
      </c>
      <c r="F242" s="102">
        <f>SUM(F227:F241)</f>
        <v>0</v>
      </c>
      <c r="G242" s="102">
        <f t="shared" si="44"/>
        <v>0</v>
      </c>
      <c r="H242" s="102">
        <f t="shared" si="41"/>
        <v>0</v>
      </c>
    </row>
    <row r="243" spans="2:8" ht="15.75" thickBot="1" x14ac:dyDescent="0.3">
      <c r="B243" s="5"/>
      <c r="C243" s="62"/>
      <c r="D243" s="63"/>
      <c r="E243" s="75" t="s">
        <v>84</v>
      </c>
      <c r="F243" s="76">
        <f>C242-F242</f>
        <v>6</v>
      </c>
      <c r="G243" s="77" t="s">
        <v>85</v>
      </c>
      <c r="H243" s="76">
        <f>(E227+E228+E242)-G242</f>
        <v>0.84399999999999997</v>
      </c>
    </row>
    <row r="247" spans="2:8" ht="14.25" customHeight="1" thickBot="1" x14ac:dyDescent="0.3"/>
    <row r="248" spans="2:8" ht="60" customHeight="1" x14ac:dyDescent="0.25">
      <c r="B248" s="279" t="s">
        <v>204</v>
      </c>
      <c r="C248" s="280"/>
      <c r="D248" s="280"/>
      <c r="E248" s="280"/>
      <c r="F248" s="280"/>
      <c r="G248" s="280"/>
      <c r="H248" s="281"/>
    </row>
    <row r="249" spans="2:8" x14ac:dyDescent="0.25">
      <c r="B249" s="1" t="s">
        <v>63</v>
      </c>
      <c r="C249" s="78" t="s">
        <v>67</v>
      </c>
      <c r="D249" s="1" t="s">
        <v>70</v>
      </c>
      <c r="E249" s="34" t="s">
        <v>86</v>
      </c>
      <c r="F249" s="34" t="s">
        <v>123</v>
      </c>
      <c r="G249" s="34" t="s">
        <v>83</v>
      </c>
      <c r="H249" s="34"/>
    </row>
    <row r="250" spans="2:8" x14ac:dyDescent="0.25">
      <c r="B250" s="65" t="s">
        <v>82</v>
      </c>
      <c r="C250" s="119">
        <v>0</v>
      </c>
      <c r="D250" s="66"/>
      <c r="E250" s="66">
        <v>0</v>
      </c>
      <c r="F250" s="34"/>
      <c r="G250" s="34">
        <f>F250*0.08</f>
        <v>0</v>
      </c>
      <c r="H250" s="34">
        <f t="shared" ref="H250:H265" si="45">G250*D250</f>
        <v>0</v>
      </c>
    </row>
    <row r="251" spans="2:8" x14ac:dyDescent="0.25">
      <c r="B251" s="64" t="s">
        <v>87</v>
      </c>
      <c r="C251" s="50">
        <v>0</v>
      </c>
      <c r="D251" s="50"/>
      <c r="E251" s="50"/>
      <c r="F251" s="34"/>
      <c r="G251" s="34">
        <f t="shared" ref="G251:G262" si="46">F251*0.08</f>
        <v>0</v>
      </c>
      <c r="H251" s="34">
        <f t="shared" si="45"/>
        <v>0</v>
      </c>
    </row>
    <row r="252" spans="2:8" x14ac:dyDescent="0.25">
      <c r="B252" s="47">
        <v>46225</v>
      </c>
      <c r="C252" s="74">
        <v>11</v>
      </c>
      <c r="D252" s="34">
        <v>0.15</v>
      </c>
      <c r="E252" s="34">
        <f>C252*D252</f>
        <v>1.65</v>
      </c>
      <c r="F252" s="34"/>
      <c r="G252" s="34">
        <f t="shared" si="46"/>
        <v>0</v>
      </c>
      <c r="H252" s="34">
        <f t="shared" si="45"/>
        <v>0</v>
      </c>
    </row>
    <row r="253" spans="2:8" x14ac:dyDescent="0.25">
      <c r="B253" s="47"/>
      <c r="C253" s="74">
        <v>1</v>
      </c>
      <c r="D253" s="34">
        <v>0.10100000000000001</v>
      </c>
      <c r="E253" s="34">
        <f>C253*D253</f>
        <v>0.10100000000000001</v>
      </c>
      <c r="F253" s="34"/>
      <c r="G253" s="34">
        <f t="shared" si="46"/>
        <v>0</v>
      </c>
      <c r="H253" s="34">
        <f t="shared" si="45"/>
        <v>0</v>
      </c>
    </row>
    <row r="254" spans="2:8" x14ac:dyDescent="0.25">
      <c r="B254" s="47"/>
      <c r="C254" s="74">
        <v>1</v>
      </c>
      <c r="D254" s="34">
        <v>6.4000000000000001E-2</v>
      </c>
      <c r="E254" s="34">
        <f t="shared" ref="E254:E264" si="47">C254*D254</f>
        <v>6.4000000000000001E-2</v>
      </c>
      <c r="F254" s="34"/>
      <c r="G254" s="34">
        <f>F254*0.15</f>
        <v>0</v>
      </c>
      <c r="H254" s="34">
        <f t="shared" si="45"/>
        <v>0</v>
      </c>
    </row>
    <row r="255" spans="2:8" x14ac:dyDescent="0.25">
      <c r="B255" s="47">
        <v>46238</v>
      </c>
      <c r="C255" s="74"/>
      <c r="D255" s="34">
        <v>0.15</v>
      </c>
      <c r="E255" s="34">
        <f t="shared" si="47"/>
        <v>0</v>
      </c>
      <c r="F255" s="34">
        <v>1</v>
      </c>
      <c r="G255" s="34">
        <f>F255*0.15</f>
        <v>0.15</v>
      </c>
      <c r="H255" s="34">
        <f t="shared" si="45"/>
        <v>2.2499999999999999E-2</v>
      </c>
    </row>
    <row r="256" spans="2:8" x14ac:dyDescent="0.25">
      <c r="B256" s="47"/>
      <c r="C256" s="74"/>
      <c r="D256" s="34">
        <v>0.15</v>
      </c>
      <c r="E256" s="34">
        <f t="shared" si="47"/>
        <v>0</v>
      </c>
      <c r="F256" s="34"/>
      <c r="G256" s="34">
        <f t="shared" si="46"/>
        <v>0</v>
      </c>
      <c r="H256" s="34">
        <f t="shared" si="45"/>
        <v>0</v>
      </c>
    </row>
    <row r="257" spans="2:8" x14ac:dyDescent="0.25">
      <c r="B257" s="47"/>
      <c r="C257" s="74"/>
      <c r="D257" s="34">
        <v>0.15</v>
      </c>
      <c r="E257" s="34">
        <f t="shared" si="47"/>
        <v>0</v>
      </c>
      <c r="F257" s="34"/>
      <c r="G257" s="34">
        <f t="shared" si="46"/>
        <v>0</v>
      </c>
      <c r="H257" s="34">
        <f t="shared" si="45"/>
        <v>0</v>
      </c>
    </row>
    <row r="258" spans="2:8" x14ac:dyDescent="0.25">
      <c r="B258" s="47"/>
      <c r="C258" s="74"/>
      <c r="D258" s="34">
        <v>0.15</v>
      </c>
      <c r="E258" s="34">
        <f t="shared" si="47"/>
        <v>0</v>
      </c>
      <c r="F258" s="34"/>
      <c r="G258" s="34">
        <f t="shared" si="46"/>
        <v>0</v>
      </c>
      <c r="H258" s="34">
        <f t="shared" si="45"/>
        <v>0</v>
      </c>
    </row>
    <row r="259" spans="2:8" x14ac:dyDescent="0.25">
      <c r="B259" s="47"/>
      <c r="C259" s="74"/>
      <c r="D259" s="34">
        <v>0.15</v>
      </c>
      <c r="E259" s="34">
        <f t="shared" si="47"/>
        <v>0</v>
      </c>
      <c r="F259" s="34"/>
      <c r="G259" s="34">
        <f t="shared" si="46"/>
        <v>0</v>
      </c>
      <c r="H259" s="34">
        <f t="shared" si="45"/>
        <v>0</v>
      </c>
    </row>
    <row r="260" spans="2:8" x14ac:dyDescent="0.25">
      <c r="B260" s="47"/>
      <c r="C260" s="74"/>
      <c r="D260" s="34">
        <v>0.15</v>
      </c>
      <c r="E260" s="34">
        <f t="shared" si="47"/>
        <v>0</v>
      </c>
      <c r="F260" s="34"/>
      <c r="G260" s="34">
        <f t="shared" si="46"/>
        <v>0</v>
      </c>
      <c r="H260" s="34">
        <f t="shared" si="45"/>
        <v>0</v>
      </c>
    </row>
    <row r="261" spans="2:8" x14ac:dyDescent="0.25">
      <c r="B261" s="47"/>
      <c r="C261" s="74"/>
      <c r="D261" s="34">
        <v>0.15</v>
      </c>
      <c r="E261" s="34">
        <f t="shared" si="47"/>
        <v>0</v>
      </c>
      <c r="F261" s="34"/>
      <c r="G261" s="34">
        <f t="shared" si="46"/>
        <v>0</v>
      </c>
      <c r="H261" s="34">
        <f t="shared" si="45"/>
        <v>0</v>
      </c>
    </row>
    <row r="262" spans="2:8" x14ac:dyDescent="0.25">
      <c r="B262" s="47"/>
      <c r="C262" s="74"/>
      <c r="D262" s="34">
        <v>0.15</v>
      </c>
      <c r="E262" s="34">
        <f t="shared" si="47"/>
        <v>0</v>
      </c>
      <c r="F262" s="34"/>
      <c r="G262" s="34">
        <f t="shared" si="46"/>
        <v>0</v>
      </c>
      <c r="H262" s="34">
        <f t="shared" si="45"/>
        <v>0</v>
      </c>
    </row>
    <row r="263" spans="2:8" x14ac:dyDescent="0.25">
      <c r="B263" s="1"/>
      <c r="C263" s="74"/>
      <c r="D263" s="34">
        <v>0.15</v>
      </c>
      <c r="E263" s="34">
        <f t="shared" si="47"/>
        <v>0</v>
      </c>
      <c r="F263" s="34"/>
      <c r="G263" s="34">
        <f t="shared" ref="G263:G264" si="48">F263*D263</f>
        <v>0</v>
      </c>
      <c r="H263" s="34">
        <f t="shared" si="45"/>
        <v>0</v>
      </c>
    </row>
    <row r="264" spans="2:8" x14ac:dyDescent="0.25">
      <c r="B264" s="47"/>
      <c r="C264" s="74"/>
      <c r="D264" s="34">
        <v>0.15</v>
      </c>
      <c r="E264" s="34">
        <f t="shared" si="47"/>
        <v>0</v>
      </c>
      <c r="F264" s="34"/>
      <c r="G264" s="34">
        <f t="shared" si="48"/>
        <v>0</v>
      </c>
      <c r="H264" s="34">
        <f t="shared" si="45"/>
        <v>0</v>
      </c>
    </row>
    <row r="265" spans="2:8" x14ac:dyDescent="0.25">
      <c r="B265" s="130"/>
      <c r="C265" s="102">
        <f>SUM(C252:C264)</f>
        <v>13</v>
      </c>
      <c r="D265" s="102">
        <v>0.15</v>
      </c>
      <c r="E265" s="102">
        <f>SUM(E252:E264)</f>
        <v>1.8149999999999999</v>
      </c>
      <c r="F265" s="102">
        <f>SUM(F250:F264)</f>
        <v>1</v>
      </c>
      <c r="G265" s="102">
        <f>SUM(G250:G264)</f>
        <v>0.15</v>
      </c>
      <c r="H265" s="102">
        <f t="shared" si="45"/>
        <v>2.2499999999999999E-2</v>
      </c>
    </row>
    <row r="266" spans="2:8" ht="15.75" thickBot="1" x14ac:dyDescent="0.3">
      <c r="B266" s="5"/>
      <c r="C266" s="62"/>
      <c r="D266" s="63"/>
      <c r="E266" s="75" t="s">
        <v>84</v>
      </c>
      <c r="F266" s="76">
        <f>C265-F265</f>
        <v>12</v>
      </c>
      <c r="G266" s="77" t="s">
        <v>85</v>
      </c>
      <c r="H266" s="76">
        <f>(E250+E251+E265)-G265</f>
        <v>1.665</v>
      </c>
    </row>
    <row r="270" spans="2:8" ht="15.75" thickBot="1" x14ac:dyDescent="0.3"/>
    <row r="271" spans="2:8" ht="57.75" customHeight="1" x14ac:dyDescent="0.25">
      <c r="B271" s="279" t="s">
        <v>207</v>
      </c>
      <c r="C271" s="280"/>
      <c r="D271" s="280"/>
      <c r="E271" s="280"/>
      <c r="F271" s="280"/>
      <c r="G271" s="280"/>
      <c r="H271" s="281"/>
    </row>
    <row r="272" spans="2:8" x14ac:dyDescent="0.25">
      <c r="B272" s="1" t="s">
        <v>63</v>
      </c>
      <c r="C272" s="78" t="s">
        <v>67</v>
      </c>
      <c r="D272" s="1" t="s">
        <v>70</v>
      </c>
      <c r="E272" s="34" t="s">
        <v>86</v>
      </c>
      <c r="F272" s="34" t="s">
        <v>123</v>
      </c>
      <c r="G272" s="34" t="s">
        <v>83</v>
      </c>
      <c r="H272" s="34"/>
    </row>
    <row r="273" spans="2:8" x14ac:dyDescent="0.25">
      <c r="B273" s="65" t="s">
        <v>82</v>
      </c>
      <c r="C273" s="119">
        <v>0</v>
      </c>
      <c r="D273" s="66"/>
      <c r="E273" s="66">
        <v>0</v>
      </c>
      <c r="F273" s="34"/>
      <c r="G273" s="34">
        <f>F273*0.08</f>
        <v>0</v>
      </c>
      <c r="H273" s="34">
        <f t="shared" ref="H273:H288" si="49">G273*D273</f>
        <v>0</v>
      </c>
    </row>
    <row r="274" spans="2:8" x14ac:dyDescent="0.25">
      <c r="B274" s="64" t="s">
        <v>87</v>
      </c>
      <c r="C274" s="50">
        <v>0</v>
      </c>
      <c r="D274" s="50"/>
      <c r="E274" s="50">
        <v>5</v>
      </c>
      <c r="F274" s="34"/>
      <c r="G274" s="34">
        <f t="shared" ref="G274:G285" si="50">F274*0.08</f>
        <v>0</v>
      </c>
      <c r="H274" s="34">
        <f t="shared" si="49"/>
        <v>0</v>
      </c>
    </row>
    <row r="275" spans="2:8" x14ac:dyDescent="0.25">
      <c r="B275" s="47">
        <v>46209</v>
      </c>
      <c r="C275" s="74">
        <v>1</v>
      </c>
      <c r="D275" s="34">
        <v>0.15</v>
      </c>
      <c r="E275" s="34">
        <f>C275*D275</f>
        <v>0.15</v>
      </c>
      <c r="F275" s="34"/>
      <c r="G275" s="34">
        <f t="shared" si="50"/>
        <v>0</v>
      </c>
      <c r="H275" s="34">
        <f t="shared" si="49"/>
        <v>0</v>
      </c>
    </row>
    <row r="276" spans="2:8" x14ac:dyDescent="0.25">
      <c r="B276" s="47"/>
      <c r="C276" s="74">
        <v>1</v>
      </c>
      <c r="D276" s="34">
        <v>4.8000000000000001E-2</v>
      </c>
      <c r="E276" s="34">
        <f>C276*D276</f>
        <v>4.8000000000000001E-2</v>
      </c>
      <c r="F276" s="34"/>
      <c r="G276" s="34">
        <f t="shared" si="50"/>
        <v>0</v>
      </c>
      <c r="H276" s="34">
        <f t="shared" si="49"/>
        <v>0</v>
      </c>
    </row>
    <row r="277" spans="2:8" x14ac:dyDescent="0.25">
      <c r="B277" s="47"/>
      <c r="C277" s="74"/>
      <c r="D277" s="34">
        <v>0.15</v>
      </c>
      <c r="E277" s="34">
        <f t="shared" ref="E277:E287" si="51">C277*D277</f>
        <v>0</v>
      </c>
      <c r="F277" s="34"/>
      <c r="G277" s="34">
        <f t="shared" si="50"/>
        <v>0</v>
      </c>
      <c r="H277" s="34">
        <f t="shared" si="49"/>
        <v>0</v>
      </c>
    </row>
    <row r="278" spans="2:8" x14ac:dyDescent="0.25">
      <c r="B278" s="47"/>
      <c r="C278" s="74"/>
      <c r="D278" s="34">
        <v>0.15</v>
      </c>
      <c r="E278" s="34">
        <f t="shared" si="51"/>
        <v>0</v>
      </c>
      <c r="F278" s="34"/>
      <c r="G278" s="34">
        <f t="shared" si="50"/>
        <v>0</v>
      </c>
      <c r="H278" s="34">
        <f t="shared" si="49"/>
        <v>0</v>
      </c>
    </row>
    <row r="279" spans="2:8" x14ac:dyDescent="0.25">
      <c r="B279" s="47"/>
      <c r="C279" s="74"/>
      <c r="D279" s="34">
        <v>0.15</v>
      </c>
      <c r="E279" s="34">
        <f t="shared" si="51"/>
        <v>0</v>
      </c>
      <c r="F279" s="34"/>
      <c r="G279" s="34">
        <f t="shared" si="50"/>
        <v>0</v>
      </c>
      <c r="H279" s="34">
        <f t="shared" si="49"/>
        <v>0</v>
      </c>
    </row>
    <row r="280" spans="2:8" x14ac:dyDescent="0.25">
      <c r="B280" s="47"/>
      <c r="C280" s="74"/>
      <c r="D280" s="34">
        <v>0.15</v>
      </c>
      <c r="E280" s="34">
        <f t="shared" si="51"/>
        <v>0</v>
      </c>
      <c r="F280" s="34"/>
      <c r="G280" s="34">
        <f t="shared" si="50"/>
        <v>0</v>
      </c>
      <c r="H280" s="34">
        <f t="shared" si="49"/>
        <v>0</v>
      </c>
    </row>
    <row r="281" spans="2:8" x14ac:dyDescent="0.25">
      <c r="B281" s="47"/>
      <c r="C281" s="74"/>
      <c r="D281" s="34">
        <v>0.15</v>
      </c>
      <c r="E281" s="34">
        <f t="shared" si="51"/>
        <v>0</v>
      </c>
      <c r="F281" s="34"/>
      <c r="G281" s="34">
        <f t="shared" si="50"/>
        <v>0</v>
      </c>
      <c r="H281" s="34">
        <f t="shared" si="49"/>
        <v>0</v>
      </c>
    </row>
    <row r="282" spans="2:8" x14ac:dyDescent="0.25">
      <c r="B282" s="47"/>
      <c r="C282" s="74"/>
      <c r="D282" s="34">
        <v>0.15</v>
      </c>
      <c r="E282" s="34">
        <f t="shared" si="51"/>
        <v>0</v>
      </c>
      <c r="F282" s="34"/>
      <c r="G282" s="34">
        <f t="shared" si="50"/>
        <v>0</v>
      </c>
      <c r="H282" s="34">
        <f t="shared" si="49"/>
        <v>0</v>
      </c>
    </row>
    <row r="283" spans="2:8" x14ac:dyDescent="0.25">
      <c r="B283" s="47"/>
      <c r="C283" s="74"/>
      <c r="D283" s="34">
        <v>0.15</v>
      </c>
      <c r="E283" s="34">
        <f t="shared" si="51"/>
        <v>0</v>
      </c>
      <c r="F283" s="34"/>
      <c r="G283" s="34">
        <f t="shared" si="50"/>
        <v>0</v>
      </c>
      <c r="H283" s="34">
        <f t="shared" si="49"/>
        <v>0</v>
      </c>
    </row>
    <row r="284" spans="2:8" x14ac:dyDescent="0.25">
      <c r="B284" s="47"/>
      <c r="C284" s="74"/>
      <c r="D284" s="34">
        <v>0.15</v>
      </c>
      <c r="E284" s="34">
        <f t="shared" si="51"/>
        <v>0</v>
      </c>
      <c r="F284" s="34"/>
      <c r="G284" s="34">
        <f t="shared" si="50"/>
        <v>0</v>
      </c>
      <c r="H284" s="34">
        <f t="shared" si="49"/>
        <v>0</v>
      </c>
    </row>
    <row r="285" spans="2:8" x14ac:dyDescent="0.25">
      <c r="B285" s="47"/>
      <c r="C285" s="74"/>
      <c r="D285" s="34">
        <v>0.15</v>
      </c>
      <c r="E285" s="34">
        <f t="shared" si="51"/>
        <v>0</v>
      </c>
      <c r="F285" s="34"/>
      <c r="G285" s="34">
        <f t="shared" si="50"/>
        <v>0</v>
      </c>
      <c r="H285" s="34">
        <f t="shared" si="49"/>
        <v>0</v>
      </c>
    </row>
    <row r="286" spans="2:8" x14ac:dyDescent="0.25">
      <c r="B286" s="1"/>
      <c r="C286" s="74"/>
      <c r="D286" s="34">
        <v>0.15</v>
      </c>
      <c r="E286" s="34">
        <f t="shared" si="51"/>
        <v>0</v>
      </c>
      <c r="F286" s="34"/>
      <c r="G286" s="34">
        <f t="shared" ref="G286:G288" si="52">F286*D286</f>
        <v>0</v>
      </c>
      <c r="H286" s="34">
        <f t="shared" si="49"/>
        <v>0</v>
      </c>
    </row>
    <row r="287" spans="2:8" x14ac:dyDescent="0.25">
      <c r="B287" s="47"/>
      <c r="C287" s="74"/>
      <c r="D287" s="34">
        <v>0.15</v>
      </c>
      <c r="E287" s="34">
        <f t="shared" si="51"/>
        <v>0</v>
      </c>
      <c r="F287" s="34"/>
      <c r="G287" s="34">
        <f t="shared" si="52"/>
        <v>0</v>
      </c>
      <c r="H287" s="34">
        <f t="shared" si="49"/>
        <v>0</v>
      </c>
    </row>
    <row r="288" spans="2:8" x14ac:dyDescent="0.25">
      <c r="B288" s="130"/>
      <c r="C288" s="102">
        <f>SUM(C275:C287)</f>
        <v>2</v>
      </c>
      <c r="D288" s="102">
        <v>0.08</v>
      </c>
      <c r="E288" s="102">
        <f>SUM(E275:E287)</f>
        <v>0.19800000000000001</v>
      </c>
      <c r="F288" s="102">
        <f>SUM(F273:F287)</f>
        <v>0</v>
      </c>
      <c r="G288" s="102">
        <f t="shared" si="52"/>
        <v>0</v>
      </c>
      <c r="H288" s="102">
        <f t="shared" si="49"/>
        <v>0</v>
      </c>
    </row>
    <row r="289" spans="2:8" ht="15.75" thickBot="1" x14ac:dyDescent="0.3">
      <c r="B289" s="5"/>
      <c r="C289" s="62"/>
      <c r="D289" s="63"/>
      <c r="E289" s="75" t="s">
        <v>84</v>
      </c>
      <c r="F289" s="76">
        <f>C288-F288</f>
        <v>2</v>
      </c>
      <c r="G289" s="77" t="s">
        <v>85</v>
      </c>
      <c r="H289" s="76">
        <f>(E273+E274+E288)-G288</f>
        <v>5.1980000000000004</v>
      </c>
    </row>
    <row r="292" spans="2:8" ht="15.75" thickBot="1" x14ac:dyDescent="0.3"/>
    <row r="293" spans="2:8" ht="68.25" customHeight="1" x14ac:dyDescent="0.25">
      <c r="B293" s="279" t="s">
        <v>200</v>
      </c>
      <c r="C293" s="280"/>
      <c r="D293" s="280"/>
      <c r="E293" s="280"/>
      <c r="F293" s="280"/>
      <c r="G293" s="280"/>
      <c r="H293" s="281"/>
    </row>
    <row r="294" spans="2:8" x14ac:dyDescent="0.25">
      <c r="B294" s="1" t="s">
        <v>63</v>
      </c>
      <c r="C294" s="78" t="s">
        <v>67</v>
      </c>
      <c r="D294" s="1" t="s">
        <v>70</v>
      </c>
      <c r="E294" s="34" t="s">
        <v>86</v>
      </c>
      <c r="F294" s="34" t="s">
        <v>123</v>
      </c>
      <c r="G294" s="34" t="s">
        <v>83</v>
      </c>
      <c r="H294" s="34"/>
    </row>
    <row r="295" spans="2:8" x14ac:dyDescent="0.25">
      <c r="B295" s="65" t="s">
        <v>82</v>
      </c>
      <c r="C295" s="119">
        <v>0</v>
      </c>
      <c r="D295" s="66"/>
      <c r="E295" s="66">
        <v>0</v>
      </c>
      <c r="F295" s="34"/>
      <c r="G295" s="34">
        <f>F295*0.08</f>
        <v>0</v>
      </c>
      <c r="H295" s="34">
        <f t="shared" ref="H295:H310" si="53">G295*D295</f>
        <v>0</v>
      </c>
    </row>
    <row r="296" spans="2:8" x14ac:dyDescent="0.25">
      <c r="B296" s="64" t="s">
        <v>87</v>
      </c>
      <c r="C296" s="50">
        <v>0</v>
      </c>
      <c r="D296" s="50"/>
      <c r="E296" s="50"/>
      <c r="F296" s="34"/>
      <c r="G296" s="34">
        <f t="shared" ref="G296:G307" si="54">F296*0.08</f>
        <v>0</v>
      </c>
      <c r="H296" s="34">
        <f t="shared" si="53"/>
        <v>0</v>
      </c>
    </row>
    <row r="297" spans="2:8" x14ac:dyDescent="0.25">
      <c r="B297" s="47">
        <v>46226</v>
      </c>
      <c r="C297" s="74">
        <v>23</v>
      </c>
      <c r="D297" s="34">
        <v>0.15</v>
      </c>
      <c r="E297" s="34">
        <f>C297*D297</f>
        <v>3.4499999999999997</v>
      </c>
      <c r="F297" s="34"/>
      <c r="G297" s="34">
        <f t="shared" si="54"/>
        <v>0</v>
      </c>
      <c r="H297" s="34">
        <f t="shared" si="53"/>
        <v>0</v>
      </c>
    </row>
    <row r="298" spans="2:8" x14ac:dyDescent="0.25">
      <c r="B298" s="47"/>
      <c r="C298" s="74">
        <v>1</v>
      </c>
      <c r="D298" s="34">
        <v>8.7999999999999995E-2</v>
      </c>
      <c r="E298" s="34">
        <f>C298*D298</f>
        <v>8.7999999999999995E-2</v>
      </c>
      <c r="F298" s="34"/>
      <c r="G298" s="34">
        <f t="shared" si="54"/>
        <v>0</v>
      </c>
      <c r="H298" s="34">
        <f t="shared" si="53"/>
        <v>0</v>
      </c>
    </row>
    <row r="299" spans="2:8" x14ac:dyDescent="0.25">
      <c r="B299" s="47">
        <v>46227</v>
      </c>
      <c r="C299" s="74">
        <v>10</v>
      </c>
      <c r="D299" s="34">
        <v>0.15</v>
      </c>
      <c r="E299" s="34">
        <f t="shared" ref="E299:E309" si="55">C299*D299</f>
        <v>1.5</v>
      </c>
      <c r="F299" s="34"/>
      <c r="G299" s="34">
        <f t="shared" si="54"/>
        <v>0</v>
      </c>
      <c r="H299" s="34">
        <f t="shared" si="53"/>
        <v>0</v>
      </c>
    </row>
    <row r="300" spans="2:8" x14ac:dyDescent="0.25">
      <c r="B300" s="47"/>
      <c r="C300" s="74">
        <v>1</v>
      </c>
      <c r="D300" s="34">
        <v>0.02</v>
      </c>
      <c r="E300" s="34">
        <f t="shared" si="55"/>
        <v>0.02</v>
      </c>
      <c r="F300" s="34"/>
      <c r="G300" s="34">
        <f>I298</f>
        <v>0</v>
      </c>
      <c r="H300" s="34">
        <f t="shared" si="53"/>
        <v>0</v>
      </c>
    </row>
    <row r="301" spans="2:8" x14ac:dyDescent="0.25">
      <c r="B301" s="47">
        <v>46231</v>
      </c>
      <c r="C301" s="74"/>
      <c r="D301" s="34">
        <v>0.15</v>
      </c>
      <c r="E301" s="34">
        <f t="shared" si="55"/>
        <v>0</v>
      </c>
      <c r="F301" s="34">
        <v>10</v>
      </c>
      <c r="G301" s="34">
        <f>F301*0.15</f>
        <v>1.5</v>
      </c>
      <c r="H301" s="34">
        <f t="shared" si="53"/>
        <v>0.22499999999999998</v>
      </c>
    </row>
    <row r="302" spans="2:8" x14ac:dyDescent="0.25">
      <c r="B302" s="47"/>
      <c r="C302" s="74"/>
      <c r="D302" s="34">
        <v>0.15</v>
      </c>
      <c r="E302" s="34">
        <f t="shared" si="55"/>
        <v>0</v>
      </c>
      <c r="F302" s="34"/>
      <c r="G302" s="34">
        <f t="shared" si="54"/>
        <v>0</v>
      </c>
      <c r="H302" s="34">
        <f t="shared" si="53"/>
        <v>0</v>
      </c>
    </row>
    <row r="303" spans="2:8" x14ac:dyDescent="0.25">
      <c r="B303" s="47"/>
      <c r="C303" s="74"/>
      <c r="D303" s="34">
        <v>0.15</v>
      </c>
      <c r="E303" s="34">
        <f t="shared" si="55"/>
        <v>0</v>
      </c>
      <c r="F303" s="34"/>
      <c r="G303" s="34">
        <f t="shared" si="54"/>
        <v>0</v>
      </c>
      <c r="H303" s="34">
        <f t="shared" si="53"/>
        <v>0</v>
      </c>
    </row>
    <row r="304" spans="2:8" x14ac:dyDescent="0.25">
      <c r="B304" s="47"/>
      <c r="C304" s="74"/>
      <c r="D304" s="34">
        <v>0.15</v>
      </c>
      <c r="E304" s="34">
        <f t="shared" si="55"/>
        <v>0</v>
      </c>
      <c r="F304" s="34"/>
      <c r="G304" s="34">
        <f t="shared" si="54"/>
        <v>0</v>
      </c>
      <c r="H304" s="34">
        <f t="shared" si="53"/>
        <v>0</v>
      </c>
    </row>
    <row r="305" spans="2:8" x14ac:dyDescent="0.25">
      <c r="B305" s="47"/>
      <c r="C305" s="74"/>
      <c r="D305" s="34">
        <v>0.15</v>
      </c>
      <c r="E305" s="34">
        <f t="shared" si="55"/>
        <v>0</v>
      </c>
      <c r="F305" s="34"/>
      <c r="G305" s="34">
        <f t="shared" si="54"/>
        <v>0</v>
      </c>
      <c r="H305" s="34">
        <f t="shared" si="53"/>
        <v>0</v>
      </c>
    </row>
    <row r="306" spans="2:8" x14ac:dyDescent="0.25">
      <c r="B306" s="47"/>
      <c r="C306" s="74"/>
      <c r="D306" s="34">
        <v>0.15</v>
      </c>
      <c r="E306" s="34">
        <f t="shared" si="55"/>
        <v>0</v>
      </c>
      <c r="F306" s="34"/>
      <c r="G306" s="34">
        <f t="shared" si="54"/>
        <v>0</v>
      </c>
      <c r="H306" s="34">
        <f t="shared" si="53"/>
        <v>0</v>
      </c>
    </row>
    <row r="307" spans="2:8" x14ac:dyDescent="0.25">
      <c r="B307" s="47"/>
      <c r="C307" s="74"/>
      <c r="D307" s="34">
        <v>0.15</v>
      </c>
      <c r="E307" s="34">
        <f t="shared" si="55"/>
        <v>0</v>
      </c>
      <c r="F307" s="34"/>
      <c r="G307" s="34">
        <f t="shared" si="54"/>
        <v>0</v>
      </c>
      <c r="H307" s="34">
        <f t="shared" si="53"/>
        <v>0</v>
      </c>
    </row>
    <row r="308" spans="2:8" x14ac:dyDescent="0.25">
      <c r="B308" s="1"/>
      <c r="C308" s="74"/>
      <c r="D308" s="34">
        <v>0.15</v>
      </c>
      <c r="E308" s="34">
        <f t="shared" si="55"/>
        <v>0</v>
      </c>
      <c r="F308" s="34"/>
      <c r="G308" s="34">
        <f t="shared" ref="G308:G310" si="56">F308*D308</f>
        <v>0</v>
      </c>
      <c r="H308" s="34">
        <f t="shared" si="53"/>
        <v>0</v>
      </c>
    </row>
    <row r="309" spans="2:8" x14ac:dyDescent="0.25">
      <c r="B309" s="47"/>
      <c r="C309" s="74"/>
      <c r="D309" s="34">
        <v>0.15</v>
      </c>
      <c r="E309" s="34">
        <f t="shared" si="55"/>
        <v>0</v>
      </c>
      <c r="F309" s="34"/>
      <c r="G309" s="34">
        <f t="shared" si="56"/>
        <v>0</v>
      </c>
      <c r="H309" s="34">
        <f t="shared" si="53"/>
        <v>0</v>
      </c>
    </row>
    <row r="310" spans="2:8" x14ac:dyDescent="0.25">
      <c r="B310" s="130"/>
      <c r="C310" s="102">
        <f>SUM(C297:C309)</f>
        <v>35</v>
      </c>
      <c r="D310" s="102">
        <v>0.15</v>
      </c>
      <c r="E310" s="102">
        <f>SUM(E297:E309)</f>
        <v>5.0579999999999998</v>
      </c>
      <c r="F310" s="102">
        <f>SUM(F295:F309)</f>
        <v>10</v>
      </c>
      <c r="G310" s="102">
        <f t="shared" si="56"/>
        <v>1.5</v>
      </c>
      <c r="H310" s="102">
        <f t="shared" si="53"/>
        <v>0.22499999999999998</v>
      </c>
    </row>
    <row r="311" spans="2:8" ht="15.75" thickBot="1" x14ac:dyDescent="0.3">
      <c r="B311" s="5"/>
      <c r="C311" s="62"/>
      <c r="D311" s="63"/>
      <c r="E311" s="75" t="s">
        <v>84</v>
      </c>
      <c r="F311" s="76">
        <f>C310-F310</f>
        <v>25</v>
      </c>
      <c r="G311" s="77" t="s">
        <v>85</v>
      </c>
      <c r="H311" s="76">
        <f>(E295+E296+E310)-G310</f>
        <v>3.5579999999999998</v>
      </c>
    </row>
    <row r="315" spans="2:8" ht="15.75" thickBot="1" x14ac:dyDescent="0.3"/>
    <row r="316" spans="2:8" ht="48" customHeight="1" x14ac:dyDescent="0.25">
      <c r="B316" s="279" t="s">
        <v>202</v>
      </c>
      <c r="C316" s="280"/>
      <c r="D316" s="280"/>
      <c r="E316" s="280"/>
      <c r="F316" s="280"/>
      <c r="G316" s="280"/>
      <c r="H316" s="281"/>
    </row>
    <row r="317" spans="2:8" x14ac:dyDescent="0.25">
      <c r="B317" s="1" t="s">
        <v>63</v>
      </c>
      <c r="C317" s="78" t="s">
        <v>67</v>
      </c>
      <c r="D317" s="1" t="s">
        <v>70</v>
      </c>
      <c r="E317" s="34" t="s">
        <v>86</v>
      </c>
      <c r="F317" s="34" t="s">
        <v>123</v>
      </c>
      <c r="G317" s="34" t="s">
        <v>83</v>
      </c>
      <c r="H317" s="34"/>
    </row>
    <row r="318" spans="2:8" x14ac:dyDescent="0.25">
      <c r="B318" s="65" t="s">
        <v>82</v>
      </c>
      <c r="C318" s="119">
        <v>0</v>
      </c>
      <c r="D318" s="66"/>
      <c r="E318" s="66">
        <v>0</v>
      </c>
      <c r="F318" s="34"/>
      <c r="G318" s="34">
        <f>F318*0.08</f>
        <v>0</v>
      </c>
      <c r="H318" s="34">
        <f t="shared" ref="H318:H333" si="57">G318*D318</f>
        <v>0</v>
      </c>
    </row>
    <row r="319" spans="2:8" x14ac:dyDescent="0.25">
      <c r="B319" s="64" t="s">
        <v>87</v>
      </c>
      <c r="C319" s="50">
        <v>0</v>
      </c>
      <c r="D319" s="50"/>
      <c r="E319" s="50"/>
      <c r="F319" s="34"/>
      <c r="G319" s="34">
        <f t="shared" ref="G319:G330" si="58">F319*0.08</f>
        <v>0</v>
      </c>
      <c r="H319" s="34">
        <f t="shared" si="57"/>
        <v>0</v>
      </c>
    </row>
    <row r="320" spans="2:8" x14ac:dyDescent="0.25">
      <c r="B320" s="47">
        <v>46244</v>
      </c>
      <c r="C320" s="74">
        <v>169</v>
      </c>
      <c r="D320" s="34">
        <v>0.15</v>
      </c>
      <c r="E320" s="34">
        <f>C320*D320</f>
        <v>25.349999999999998</v>
      </c>
      <c r="F320" s="34"/>
      <c r="G320" s="34">
        <f t="shared" si="58"/>
        <v>0</v>
      </c>
      <c r="H320" s="34">
        <f t="shared" si="57"/>
        <v>0</v>
      </c>
    </row>
    <row r="321" spans="2:8" x14ac:dyDescent="0.25">
      <c r="B321" s="47"/>
      <c r="C321" s="74">
        <v>1</v>
      </c>
      <c r="D321" s="34">
        <v>0.10299999999999999</v>
      </c>
      <c r="E321" s="34">
        <f>C321*D321</f>
        <v>0.10299999999999999</v>
      </c>
      <c r="F321" s="34"/>
      <c r="G321" s="34">
        <f t="shared" si="58"/>
        <v>0</v>
      </c>
      <c r="H321" s="34">
        <f t="shared" si="57"/>
        <v>0</v>
      </c>
    </row>
    <row r="322" spans="2:8" x14ac:dyDescent="0.25">
      <c r="B322" s="47">
        <v>46244</v>
      </c>
      <c r="C322" s="74"/>
      <c r="D322" s="34">
        <v>0.15</v>
      </c>
      <c r="E322" s="34">
        <f t="shared" ref="E322:E332" si="59">C322*D322</f>
        <v>0</v>
      </c>
      <c r="F322" s="34">
        <v>28</v>
      </c>
      <c r="G322" s="34">
        <f>F322*0.15</f>
        <v>4.2</v>
      </c>
      <c r="H322" s="34">
        <f t="shared" si="57"/>
        <v>0.63</v>
      </c>
    </row>
    <row r="323" spans="2:8" x14ac:dyDescent="0.25">
      <c r="B323" s="47">
        <v>46245</v>
      </c>
      <c r="C323" s="74"/>
      <c r="D323" s="34">
        <v>9.5000000000000001E-2</v>
      </c>
      <c r="E323" s="34">
        <f t="shared" si="59"/>
        <v>0</v>
      </c>
      <c r="F323" s="34">
        <v>45</v>
      </c>
      <c r="G323" s="34">
        <f>F323*0.15</f>
        <v>6.75</v>
      </c>
      <c r="H323" s="34">
        <f t="shared" si="57"/>
        <v>0.64124999999999999</v>
      </c>
    </row>
    <row r="324" spans="2:8" x14ac:dyDescent="0.25">
      <c r="B324" s="47"/>
      <c r="C324" s="74"/>
      <c r="D324" s="34">
        <v>0.15</v>
      </c>
      <c r="E324" s="34">
        <f t="shared" si="59"/>
        <v>0</v>
      </c>
      <c r="F324" s="34"/>
      <c r="G324" s="34">
        <f>F324*0.15</f>
        <v>0</v>
      </c>
      <c r="H324" s="34">
        <f t="shared" si="57"/>
        <v>0</v>
      </c>
    </row>
    <row r="325" spans="2:8" x14ac:dyDescent="0.25">
      <c r="B325" s="47"/>
      <c r="C325" s="74"/>
      <c r="D325" s="34">
        <v>0.15</v>
      </c>
      <c r="E325" s="34">
        <f t="shared" si="59"/>
        <v>0</v>
      </c>
      <c r="F325" s="34"/>
      <c r="G325" s="34">
        <f t="shared" si="58"/>
        <v>0</v>
      </c>
      <c r="H325" s="34">
        <f t="shared" si="57"/>
        <v>0</v>
      </c>
    </row>
    <row r="326" spans="2:8" x14ac:dyDescent="0.25">
      <c r="B326" s="47"/>
      <c r="C326" s="74"/>
      <c r="D326" s="34">
        <v>0.15</v>
      </c>
      <c r="E326" s="34">
        <f t="shared" si="59"/>
        <v>0</v>
      </c>
      <c r="F326" s="34"/>
      <c r="G326" s="34">
        <f t="shared" si="58"/>
        <v>0</v>
      </c>
      <c r="H326" s="34">
        <f t="shared" si="57"/>
        <v>0</v>
      </c>
    </row>
    <row r="327" spans="2:8" x14ac:dyDescent="0.25">
      <c r="B327" s="47"/>
      <c r="C327" s="74"/>
      <c r="D327" s="34">
        <v>0.15</v>
      </c>
      <c r="E327" s="34">
        <f t="shared" si="59"/>
        <v>0</v>
      </c>
      <c r="F327" s="34"/>
      <c r="G327" s="34">
        <f t="shared" si="58"/>
        <v>0</v>
      </c>
      <c r="H327" s="34">
        <f t="shared" si="57"/>
        <v>0</v>
      </c>
    </row>
    <row r="328" spans="2:8" x14ac:dyDescent="0.25">
      <c r="B328" s="47"/>
      <c r="C328" s="74"/>
      <c r="D328" s="34">
        <v>0.15</v>
      </c>
      <c r="E328" s="34">
        <f t="shared" si="59"/>
        <v>0</v>
      </c>
      <c r="F328" s="34"/>
      <c r="G328" s="34">
        <f t="shared" si="58"/>
        <v>0</v>
      </c>
      <c r="H328" s="34">
        <f t="shared" si="57"/>
        <v>0</v>
      </c>
    </row>
    <row r="329" spans="2:8" x14ac:dyDescent="0.25">
      <c r="B329" s="47"/>
      <c r="C329" s="74"/>
      <c r="D329" s="34">
        <v>0.15</v>
      </c>
      <c r="E329" s="34">
        <f t="shared" si="59"/>
        <v>0</v>
      </c>
      <c r="F329" s="34"/>
      <c r="G329" s="34">
        <f t="shared" si="58"/>
        <v>0</v>
      </c>
      <c r="H329" s="34">
        <f t="shared" si="57"/>
        <v>0</v>
      </c>
    </row>
    <row r="330" spans="2:8" x14ac:dyDescent="0.25">
      <c r="B330" s="47"/>
      <c r="C330" s="74"/>
      <c r="D330" s="34">
        <v>0.15</v>
      </c>
      <c r="E330" s="34">
        <f t="shared" si="59"/>
        <v>0</v>
      </c>
      <c r="F330" s="34"/>
      <c r="G330" s="34">
        <f t="shared" si="58"/>
        <v>0</v>
      </c>
      <c r="H330" s="34">
        <f t="shared" si="57"/>
        <v>0</v>
      </c>
    </row>
    <row r="331" spans="2:8" x14ac:dyDescent="0.25">
      <c r="B331" s="1"/>
      <c r="C331" s="74"/>
      <c r="D331" s="34">
        <v>0.15</v>
      </c>
      <c r="E331" s="34">
        <f t="shared" si="59"/>
        <v>0</v>
      </c>
      <c r="F331" s="34"/>
      <c r="G331" s="34">
        <f t="shared" ref="G331:G332" si="60">F331*D331</f>
        <v>0</v>
      </c>
      <c r="H331" s="34">
        <f t="shared" si="57"/>
        <v>0</v>
      </c>
    </row>
    <row r="332" spans="2:8" x14ac:dyDescent="0.25">
      <c r="B332" s="47"/>
      <c r="C332" s="74"/>
      <c r="D332" s="34">
        <v>0.15</v>
      </c>
      <c r="E332" s="34">
        <f t="shared" si="59"/>
        <v>0</v>
      </c>
      <c r="F332" s="34"/>
      <c r="G332" s="34">
        <f t="shared" si="60"/>
        <v>0</v>
      </c>
      <c r="H332" s="34">
        <f t="shared" si="57"/>
        <v>0</v>
      </c>
    </row>
    <row r="333" spans="2:8" x14ac:dyDescent="0.25">
      <c r="B333" s="130"/>
      <c r="C333" s="102">
        <f>SUM(C320:C332)</f>
        <v>170</v>
      </c>
      <c r="D333" s="102">
        <v>0.15</v>
      </c>
      <c r="E333" s="102">
        <f>SUM(E320:E332)</f>
        <v>25.452999999999999</v>
      </c>
      <c r="F333" s="102">
        <f>SUM(F318:F332)</f>
        <v>73</v>
      </c>
      <c r="G333" s="102">
        <f>SUM(G318:G332)</f>
        <v>10.95</v>
      </c>
      <c r="H333" s="102">
        <f t="shared" si="57"/>
        <v>1.6424999999999998</v>
      </c>
    </row>
    <row r="334" spans="2:8" ht="15.75" thickBot="1" x14ac:dyDescent="0.3">
      <c r="B334" s="5"/>
      <c r="C334" s="62"/>
      <c r="D334" s="63"/>
      <c r="E334" s="75" t="s">
        <v>84</v>
      </c>
      <c r="F334" s="76">
        <f>C333-F333</f>
        <v>97</v>
      </c>
      <c r="G334" s="77" t="s">
        <v>85</v>
      </c>
      <c r="H334" s="76">
        <f>(E318+E319+E333)-G333</f>
        <v>14.503</v>
      </c>
    </row>
    <row r="335" spans="2:8" ht="22.5" customHeight="1" x14ac:dyDescent="0.25"/>
    <row r="336" spans="2:8" ht="17.25" customHeight="1" x14ac:dyDescent="0.25"/>
    <row r="337" spans="2:8" ht="22.5" customHeight="1" thickBot="1" x14ac:dyDescent="0.3"/>
    <row r="338" spans="2:8" ht="52.5" customHeight="1" x14ac:dyDescent="0.25">
      <c r="B338" s="279" t="s">
        <v>220</v>
      </c>
      <c r="C338" s="280"/>
      <c r="D338" s="280"/>
      <c r="E338" s="280"/>
      <c r="F338" s="280"/>
      <c r="G338" s="280"/>
      <c r="H338" s="281"/>
    </row>
    <row r="339" spans="2:8" x14ac:dyDescent="0.25">
      <c r="B339" s="1" t="s">
        <v>63</v>
      </c>
      <c r="C339" s="78" t="s">
        <v>67</v>
      </c>
      <c r="D339" s="1" t="s">
        <v>70</v>
      </c>
      <c r="E339" s="34" t="s">
        <v>86</v>
      </c>
      <c r="F339" s="34" t="s">
        <v>123</v>
      </c>
      <c r="G339" s="34" t="s">
        <v>83</v>
      </c>
      <c r="H339" s="34"/>
    </row>
    <row r="340" spans="2:8" x14ac:dyDescent="0.25">
      <c r="B340" s="65" t="s">
        <v>82</v>
      </c>
      <c r="C340" s="119">
        <v>0</v>
      </c>
      <c r="D340" s="66"/>
      <c r="E340" s="66">
        <v>0</v>
      </c>
      <c r="F340" s="34"/>
      <c r="G340" s="34">
        <f>F340*0.08</f>
        <v>0</v>
      </c>
      <c r="H340" s="34">
        <f t="shared" ref="H340:H355" si="61">G340*D340</f>
        <v>0</v>
      </c>
    </row>
    <row r="341" spans="2:8" x14ac:dyDescent="0.25">
      <c r="B341" s="64" t="s">
        <v>87</v>
      </c>
      <c r="C341" s="50"/>
      <c r="D341" s="50"/>
      <c r="E341" s="50"/>
      <c r="F341" s="34"/>
      <c r="G341" s="34">
        <f t="shared" ref="G341:G352" si="62">F341*0.08</f>
        <v>0</v>
      </c>
      <c r="H341" s="34">
        <f t="shared" si="61"/>
        <v>0</v>
      </c>
    </row>
    <row r="342" spans="2:8" x14ac:dyDescent="0.25">
      <c r="B342" s="47">
        <v>46225</v>
      </c>
      <c r="C342" s="74">
        <v>23</v>
      </c>
      <c r="D342" s="34">
        <v>0.15</v>
      </c>
      <c r="E342" s="34">
        <f>C342*D342</f>
        <v>3.4499999999999997</v>
      </c>
      <c r="F342" s="34"/>
      <c r="G342" s="34">
        <f t="shared" si="62"/>
        <v>0</v>
      </c>
      <c r="H342" s="34">
        <f t="shared" si="61"/>
        <v>0</v>
      </c>
    </row>
    <row r="343" spans="2:8" x14ac:dyDescent="0.25">
      <c r="B343" s="47"/>
      <c r="C343" s="74">
        <v>1</v>
      </c>
      <c r="D343" s="34">
        <v>0.10199999999999999</v>
      </c>
      <c r="E343" s="34">
        <f>C343*D343</f>
        <v>0.10199999999999999</v>
      </c>
      <c r="F343" s="34"/>
      <c r="G343" s="34">
        <f t="shared" si="62"/>
        <v>0</v>
      </c>
      <c r="H343" s="34">
        <f t="shared" si="61"/>
        <v>0</v>
      </c>
    </row>
    <row r="344" spans="2:8" x14ac:dyDescent="0.25">
      <c r="B344" s="47">
        <v>46233</v>
      </c>
      <c r="C344" s="74"/>
      <c r="D344" s="34">
        <v>0.15</v>
      </c>
      <c r="E344" s="34">
        <f t="shared" ref="E344:E354" si="63">C344*D344</f>
        <v>0</v>
      </c>
      <c r="F344" s="34">
        <v>5</v>
      </c>
      <c r="G344" s="34">
        <f>F344*0.15</f>
        <v>0.75</v>
      </c>
      <c r="H344" s="34">
        <f t="shared" si="61"/>
        <v>0.11249999999999999</v>
      </c>
    </row>
    <row r="345" spans="2:8" x14ac:dyDescent="0.25">
      <c r="B345" s="47"/>
      <c r="C345" s="74"/>
      <c r="D345" s="34">
        <v>0.15</v>
      </c>
      <c r="E345" s="34">
        <f t="shared" si="63"/>
        <v>0</v>
      </c>
      <c r="F345" s="34"/>
      <c r="G345" s="34">
        <f t="shared" si="62"/>
        <v>0</v>
      </c>
      <c r="H345" s="34">
        <f t="shared" si="61"/>
        <v>0</v>
      </c>
    </row>
    <row r="346" spans="2:8" x14ac:dyDescent="0.25">
      <c r="B346" s="47"/>
      <c r="C346" s="74"/>
      <c r="D346" s="34">
        <v>0.15</v>
      </c>
      <c r="E346" s="34">
        <f t="shared" si="63"/>
        <v>0</v>
      </c>
      <c r="F346" s="34"/>
      <c r="G346" s="34">
        <f t="shared" si="62"/>
        <v>0</v>
      </c>
      <c r="H346" s="34">
        <f t="shared" si="61"/>
        <v>0</v>
      </c>
    </row>
    <row r="347" spans="2:8" x14ac:dyDescent="0.25">
      <c r="B347" s="47"/>
      <c r="C347" s="74"/>
      <c r="D347" s="34">
        <v>0.15</v>
      </c>
      <c r="E347" s="34">
        <f t="shared" si="63"/>
        <v>0</v>
      </c>
      <c r="F347" s="34"/>
      <c r="G347" s="34">
        <f t="shared" si="62"/>
        <v>0</v>
      </c>
      <c r="H347" s="34">
        <f t="shared" si="61"/>
        <v>0</v>
      </c>
    </row>
    <row r="348" spans="2:8" x14ac:dyDescent="0.25">
      <c r="B348" s="47"/>
      <c r="C348" s="74"/>
      <c r="D348" s="34">
        <v>0.15</v>
      </c>
      <c r="E348" s="34">
        <f t="shared" si="63"/>
        <v>0</v>
      </c>
      <c r="F348" s="34"/>
      <c r="G348" s="34">
        <f t="shared" si="62"/>
        <v>0</v>
      </c>
      <c r="H348" s="34">
        <f t="shared" si="61"/>
        <v>0</v>
      </c>
    </row>
    <row r="349" spans="2:8" x14ac:dyDescent="0.25">
      <c r="B349" s="47"/>
      <c r="C349" s="74"/>
      <c r="D349" s="34">
        <v>0.15</v>
      </c>
      <c r="E349" s="34">
        <f t="shared" si="63"/>
        <v>0</v>
      </c>
      <c r="F349" s="34"/>
      <c r="G349" s="34">
        <f t="shared" si="62"/>
        <v>0</v>
      </c>
      <c r="H349" s="34">
        <f t="shared" si="61"/>
        <v>0</v>
      </c>
    </row>
    <row r="350" spans="2:8" x14ac:dyDescent="0.25">
      <c r="B350" s="47"/>
      <c r="C350" s="74"/>
      <c r="D350" s="34">
        <v>0.15</v>
      </c>
      <c r="E350" s="34">
        <f t="shared" si="63"/>
        <v>0</v>
      </c>
      <c r="F350" s="34"/>
      <c r="G350" s="34">
        <f t="shared" si="62"/>
        <v>0</v>
      </c>
      <c r="H350" s="34">
        <f t="shared" si="61"/>
        <v>0</v>
      </c>
    </row>
    <row r="351" spans="2:8" x14ac:dyDescent="0.25">
      <c r="B351" s="47"/>
      <c r="C351" s="74"/>
      <c r="D351" s="34">
        <v>0.15</v>
      </c>
      <c r="E351" s="34">
        <f t="shared" si="63"/>
        <v>0</v>
      </c>
      <c r="F351" s="34"/>
      <c r="G351" s="34">
        <f t="shared" si="62"/>
        <v>0</v>
      </c>
      <c r="H351" s="34">
        <f t="shared" si="61"/>
        <v>0</v>
      </c>
    </row>
    <row r="352" spans="2:8" x14ac:dyDescent="0.25">
      <c r="B352" s="47"/>
      <c r="C352" s="74"/>
      <c r="D352" s="34">
        <v>0.15</v>
      </c>
      <c r="E352" s="34">
        <f t="shared" si="63"/>
        <v>0</v>
      </c>
      <c r="F352" s="34"/>
      <c r="G352" s="34">
        <f t="shared" si="62"/>
        <v>0</v>
      </c>
      <c r="H352" s="34">
        <f t="shared" si="61"/>
        <v>0</v>
      </c>
    </row>
    <row r="353" spans="2:8" x14ac:dyDescent="0.25">
      <c r="B353" s="1"/>
      <c r="C353" s="74"/>
      <c r="D353" s="34">
        <v>0.15</v>
      </c>
      <c r="E353" s="34">
        <f t="shared" si="63"/>
        <v>0</v>
      </c>
      <c r="F353" s="34"/>
      <c r="G353" s="34">
        <f t="shared" ref="G353:G354" si="64">F353*D353</f>
        <v>0</v>
      </c>
      <c r="H353" s="34">
        <f t="shared" si="61"/>
        <v>0</v>
      </c>
    </row>
    <row r="354" spans="2:8" x14ac:dyDescent="0.25">
      <c r="B354" s="47"/>
      <c r="C354" s="74"/>
      <c r="D354" s="34">
        <v>0.15</v>
      </c>
      <c r="E354" s="34">
        <f t="shared" si="63"/>
        <v>0</v>
      </c>
      <c r="F354" s="34"/>
      <c r="G354" s="34">
        <f t="shared" si="64"/>
        <v>0</v>
      </c>
      <c r="H354" s="34">
        <f t="shared" si="61"/>
        <v>0</v>
      </c>
    </row>
    <row r="355" spans="2:8" x14ac:dyDescent="0.25">
      <c r="B355" s="130"/>
      <c r="C355" s="102">
        <f>SUM(C342:C354)</f>
        <v>24</v>
      </c>
      <c r="D355" s="102">
        <v>1.4999999999999999E-2</v>
      </c>
      <c r="E355" s="102">
        <f>SUM(E342:E354)</f>
        <v>3.5519999999999996</v>
      </c>
      <c r="F355" s="102">
        <f>SUM(F340:F354)</f>
        <v>5</v>
      </c>
      <c r="G355" s="102">
        <f>SUM(G340:G354)</f>
        <v>0.75</v>
      </c>
      <c r="H355" s="102">
        <f t="shared" si="61"/>
        <v>1.125E-2</v>
      </c>
    </row>
    <row r="356" spans="2:8" ht="15.75" thickBot="1" x14ac:dyDescent="0.3">
      <c r="B356" s="5"/>
      <c r="C356" s="62"/>
      <c r="D356" s="63"/>
      <c r="E356" s="75" t="s">
        <v>84</v>
      </c>
      <c r="F356" s="76">
        <f>C355-F355</f>
        <v>19</v>
      </c>
      <c r="G356" s="77" t="s">
        <v>85</v>
      </c>
      <c r="H356" s="76">
        <f>(E340+E341+E355)-G355</f>
        <v>2.8019999999999996</v>
      </c>
    </row>
    <row r="358" spans="2:8" ht="15.75" thickBot="1" x14ac:dyDescent="0.3"/>
    <row r="359" spans="2:8" ht="68.25" customHeight="1" x14ac:dyDescent="0.25">
      <c r="B359" s="279" t="s">
        <v>223</v>
      </c>
      <c r="C359" s="280"/>
      <c r="D359" s="280"/>
      <c r="E359" s="280"/>
      <c r="F359" s="280"/>
      <c r="G359" s="280"/>
      <c r="H359" s="281"/>
    </row>
    <row r="360" spans="2:8" x14ac:dyDescent="0.25">
      <c r="B360" s="1" t="s">
        <v>63</v>
      </c>
      <c r="C360" s="78" t="s">
        <v>67</v>
      </c>
      <c r="D360" s="1" t="s">
        <v>70</v>
      </c>
      <c r="E360" s="34" t="s">
        <v>86</v>
      </c>
      <c r="F360" s="34" t="s">
        <v>123</v>
      </c>
      <c r="G360" s="34" t="s">
        <v>83</v>
      </c>
      <c r="H360" s="34"/>
    </row>
    <row r="361" spans="2:8" x14ac:dyDescent="0.25">
      <c r="B361" s="65" t="s">
        <v>82</v>
      </c>
      <c r="C361" s="119">
        <v>0</v>
      </c>
      <c r="D361" s="66"/>
      <c r="E361" s="66">
        <v>0</v>
      </c>
      <c r="F361" s="34"/>
      <c r="G361" s="34">
        <f>F361*0.08</f>
        <v>0</v>
      </c>
      <c r="H361" s="34">
        <f t="shared" ref="H361:H376" si="65">G361*D361</f>
        <v>0</v>
      </c>
    </row>
    <row r="362" spans="2:8" x14ac:dyDescent="0.25">
      <c r="B362" s="64" t="s">
        <v>87</v>
      </c>
      <c r="C362" s="50">
        <v>0</v>
      </c>
      <c r="D362" s="50"/>
      <c r="E362" s="50"/>
      <c r="F362" s="34"/>
      <c r="G362" s="34">
        <f t="shared" ref="G362:G373" si="66">F362*0.08</f>
        <v>0</v>
      </c>
      <c r="H362" s="34">
        <f t="shared" si="65"/>
        <v>0</v>
      </c>
    </row>
    <row r="363" spans="2:8" x14ac:dyDescent="0.25">
      <c r="B363" s="47">
        <v>46225</v>
      </c>
      <c r="C363" s="74">
        <v>28</v>
      </c>
      <c r="D363" s="34">
        <v>0.15</v>
      </c>
      <c r="E363" s="34">
        <f>C363*D363</f>
        <v>4.2</v>
      </c>
      <c r="F363" s="34"/>
      <c r="G363" s="34">
        <f t="shared" si="66"/>
        <v>0</v>
      </c>
      <c r="H363" s="34">
        <f t="shared" si="65"/>
        <v>0</v>
      </c>
    </row>
    <row r="364" spans="2:8" x14ac:dyDescent="0.25">
      <c r="B364" s="47"/>
      <c r="C364" s="74">
        <v>1</v>
      </c>
      <c r="D364" s="34">
        <v>8.9999999999999993E-3</v>
      </c>
      <c r="E364" s="34">
        <f>C364*D364</f>
        <v>8.9999999999999993E-3</v>
      </c>
      <c r="F364" s="34"/>
      <c r="G364" s="34">
        <f t="shared" si="66"/>
        <v>0</v>
      </c>
      <c r="H364" s="34">
        <f t="shared" si="65"/>
        <v>0</v>
      </c>
    </row>
    <row r="365" spans="2:8" x14ac:dyDescent="0.25">
      <c r="B365" s="47">
        <v>46227</v>
      </c>
      <c r="C365" s="74">
        <v>5</v>
      </c>
      <c r="D365" s="34">
        <v>0.15</v>
      </c>
      <c r="E365" s="34">
        <f t="shared" ref="E365:E375" si="67">C365*D365</f>
        <v>0.75</v>
      </c>
      <c r="F365" s="34"/>
      <c r="G365" s="34">
        <f t="shared" si="66"/>
        <v>0</v>
      </c>
      <c r="H365" s="34">
        <f t="shared" si="65"/>
        <v>0</v>
      </c>
    </row>
    <row r="366" spans="2:8" x14ac:dyDescent="0.25">
      <c r="B366" s="47">
        <v>46232</v>
      </c>
      <c r="C366" s="74"/>
      <c r="D366" s="34">
        <v>0.15</v>
      </c>
      <c r="E366" s="34">
        <f t="shared" si="67"/>
        <v>0</v>
      </c>
      <c r="F366" s="34">
        <v>5</v>
      </c>
      <c r="G366" s="34">
        <f>F366*0.15</f>
        <v>0.75</v>
      </c>
      <c r="H366" s="34">
        <f t="shared" si="65"/>
        <v>0.11249999999999999</v>
      </c>
    </row>
    <row r="367" spans="2:8" x14ac:dyDescent="0.25">
      <c r="B367" s="47"/>
      <c r="C367" s="74"/>
      <c r="D367" s="34">
        <v>0.15</v>
      </c>
      <c r="E367" s="34">
        <f t="shared" si="67"/>
        <v>0</v>
      </c>
      <c r="F367" s="34"/>
      <c r="G367" s="34">
        <f t="shared" si="66"/>
        <v>0</v>
      </c>
      <c r="H367" s="34">
        <f t="shared" si="65"/>
        <v>0</v>
      </c>
    </row>
    <row r="368" spans="2:8" x14ac:dyDescent="0.25">
      <c r="B368" s="47"/>
      <c r="C368" s="74"/>
      <c r="D368" s="34">
        <v>0.15</v>
      </c>
      <c r="E368" s="34">
        <f t="shared" si="67"/>
        <v>0</v>
      </c>
      <c r="F368" s="34"/>
      <c r="G368" s="34">
        <f t="shared" si="66"/>
        <v>0</v>
      </c>
      <c r="H368" s="34">
        <f t="shared" si="65"/>
        <v>0</v>
      </c>
    </row>
    <row r="369" spans="2:8" x14ac:dyDescent="0.25">
      <c r="B369" s="47"/>
      <c r="C369" s="74"/>
      <c r="D369" s="34">
        <v>0.15</v>
      </c>
      <c r="E369" s="34">
        <f t="shared" si="67"/>
        <v>0</v>
      </c>
      <c r="F369" s="34"/>
      <c r="G369" s="34">
        <f t="shared" si="66"/>
        <v>0</v>
      </c>
      <c r="H369" s="34">
        <f t="shared" si="65"/>
        <v>0</v>
      </c>
    </row>
    <row r="370" spans="2:8" x14ac:dyDescent="0.25">
      <c r="B370" s="47"/>
      <c r="C370" s="74"/>
      <c r="D370" s="34">
        <v>0.15</v>
      </c>
      <c r="E370" s="34">
        <f t="shared" si="67"/>
        <v>0</v>
      </c>
      <c r="F370" s="34"/>
      <c r="G370" s="34">
        <f t="shared" si="66"/>
        <v>0</v>
      </c>
      <c r="H370" s="34">
        <f t="shared" si="65"/>
        <v>0</v>
      </c>
    </row>
    <row r="371" spans="2:8" x14ac:dyDescent="0.25">
      <c r="B371" s="47"/>
      <c r="C371" s="74"/>
      <c r="D371" s="34">
        <v>0.15</v>
      </c>
      <c r="E371" s="34">
        <f t="shared" si="67"/>
        <v>0</v>
      </c>
      <c r="F371" s="34"/>
      <c r="G371" s="34">
        <f t="shared" si="66"/>
        <v>0</v>
      </c>
      <c r="H371" s="34">
        <f t="shared" si="65"/>
        <v>0</v>
      </c>
    </row>
    <row r="372" spans="2:8" x14ac:dyDescent="0.25">
      <c r="B372" s="47"/>
      <c r="C372" s="74"/>
      <c r="D372" s="34">
        <v>0.15</v>
      </c>
      <c r="E372" s="34">
        <f t="shared" si="67"/>
        <v>0</v>
      </c>
      <c r="F372" s="34"/>
      <c r="G372" s="34">
        <f t="shared" si="66"/>
        <v>0</v>
      </c>
      <c r="H372" s="34">
        <f t="shared" si="65"/>
        <v>0</v>
      </c>
    </row>
    <row r="373" spans="2:8" x14ac:dyDescent="0.25">
      <c r="B373" s="47"/>
      <c r="C373" s="74"/>
      <c r="D373" s="34">
        <v>0.15</v>
      </c>
      <c r="E373" s="34">
        <f t="shared" si="67"/>
        <v>0</v>
      </c>
      <c r="F373" s="34"/>
      <c r="G373" s="34">
        <f t="shared" si="66"/>
        <v>0</v>
      </c>
      <c r="H373" s="34">
        <f t="shared" si="65"/>
        <v>0</v>
      </c>
    </row>
    <row r="374" spans="2:8" x14ac:dyDescent="0.25">
      <c r="B374" s="1"/>
      <c r="C374" s="74"/>
      <c r="D374" s="34">
        <v>0.15</v>
      </c>
      <c r="E374" s="34">
        <f t="shared" si="67"/>
        <v>0</v>
      </c>
      <c r="F374" s="34"/>
      <c r="G374" s="34">
        <f t="shared" ref="G374:G375" si="68">F374*D374</f>
        <v>0</v>
      </c>
      <c r="H374" s="34">
        <f t="shared" si="65"/>
        <v>0</v>
      </c>
    </row>
    <row r="375" spans="2:8" x14ac:dyDescent="0.25">
      <c r="B375" s="47"/>
      <c r="C375" s="74"/>
      <c r="D375" s="34">
        <v>0.15</v>
      </c>
      <c r="E375" s="34">
        <f t="shared" si="67"/>
        <v>0</v>
      </c>
      <c r="F375" s="34"/>
      <c r="G375" s="34">
        <f t="shared" si="68"/>
        <v>0</v>
      </c>
      <c r="H375" s="34">
        <f t="shared" si="65"/>
        <v>0</v>
      </c>
    </row>
    <row r="376" spans="2:8" x14ac:dyDescent="0.25">
      <c r="B376" s="130"/>
      <c r="C376" s="102">
        <f>SUM(C363:C375)</f>
        <v>34</v>
      </c>
      <c r="D376" s="102">
        <v>1.4999999999999999E-2</v>
      </c>
      <c r="E376" s="102">
        <f>SUM(E363:E375)</f>
        <v>4.9590000000000005</v>
      </c>
      <c r="F376" s="102">
        <f>SUM(F361:F375)</f>
        <v>5</v>
      </c>
      <c r="G376" s="102">
        <f>SUM(G361:G375)</f>
        <v>0.75</v>
      </c>
      <c r="H376" s="102">
        <f t="shared" si="65"/>
        <v>1.125E-2</v>
      </c>
    </row>
    <row r="377" spans="2:8" ht="15.75" thickBot="1" x14ac:dyDescent="0.3">
      <c r="B377" s="5"/>
      <c r="C377" s="62"/>
      <c r="D377" s="63"/>
      <c r="E377" s="75" t="s">
        <v>84</v>
      </c>
      <c r="F377" s="76">
        <f>C376-F376</f>
        <v>29</v>
      </c>
      <c r="G377" s="77" t="s">
        <v>85</v>
      </c>
      <c r="H377" s="76">
        <f>(E361+E362+E376)-G376</f>
        <v>4.2090000000000005</v>
      </c>
    </row>
    <row r="378" spans="2:8" x14ac:dyDescent="0.25">
      <c r="B378" s="5"/>
      <c r="C378" s="62"/>
      <c r="D378" s="63"/>
      <c r="E378" s="63"/>
      <c r="F378" s="63"/>
      <c r="G378" s="62"/>
      <c r="H378" s="63"/>
    </row>
    <row r="379" spans="2:8" x14ac:dyDescent="0.25">
      <c r="B379" s="5"/>
      <c r="C379" s="62"/>
      <c r="D379" s="63"/>
      <c r="E379" s="63"/>
      <c r="F379" s="63"/>
      <c r="G379" s="62"/>
      <c r="H379" s="63"/>
    </row>
    <row r="380" spans="2:8" x14ac:dyDescent="0.25">
      <c r="B380" s="5"/>
      <c r="C380" s="62"/>
      <c r="D380" s="63"/>
      <c r="E380" s="63"/>
      <c r="F380" s="63"/>
      <c r="G380" s="62"/>
      <c r="H380" s="63"/>
    </row>
    <row r="383" spans="2:8" ht="30.75" customHeight="1" thickBot="1" x14ac:dyDescent="0.3"/>
    <row r="384" spans="2:8" ht="42" customHeight="1" x14ac:dyDescent="0.25">
      <c r="B384" s="266" t="s">
        <v>282</v>
      </c>
      <c r="C384" s="267"/>
      <c r="D384" s="267"/>
      <c r="E384" s="267"/>
      <c r="F384" s="267"/>
      <c r="G384" s="267"/>
      <c r="H384" s="268"/>
    </row>
    <row r="385" spans="2:8" x14ac:dyDescent="0.25">
      <c r="B385" s="1" t="s">
        <v>63</v>
      </c>
      <c r="C385" s="78" t="s">
        <v>67</v>
      </c>
      <c r="D385" s="1" t="s">
        <v>70</v>
      </c>
      <c r="E385" s="34" t="s">
        <v>86</v>
      </c>
      <c r="F385" s="34" t="s">
        <v>123</v>
      </c>
      <c r="G385" s="34" t="s">
        <v>83</v>
      </c>
      <c r="H385" s="34"/>
    </row>
    <row r="386" spans="2:8" x14ac:dyDescent="0.25">
      <c r="B386" s="65" t="s">
        <v>82</v>
      </c>
      <c r="C386" s="119">
        <v>0</v>
      </c>
      <c r="D386" s="66"/>
      <c r="E386" s="66">
        <v>0</v>
      </c>
      <c r="F386" s="34"/>
      <c r="G386" s="34">
        <f>F386*0.08</f>
        <v>0</v>
      </c>
      <c r="H386" s="34">
        <f t="shared" ref="H386:H401" si="69">G386*D386</f>
        <v>0</v>
      </c>
    </row>
    <row r="387" spans="2:8" x14ac:dyDescent="0.25">
      <c r="B387" s="64" t="s">
        <v>87</v>
      </c>
      <c r="C387" s="50">
        <v>0</v>
      </c>
      <c r="D387" s="50"/>
      <c r="E387" s="50">
        <v>5</v>
      </c>
      <c r="F387" s="34"/>
      <c r="G387" s="34">
        <f t="shared" ref="G387:G390" si="70">F387*0.08</f>
        <v>0</v>
      </c>
      <c r="H387" s="34">
        <f t="shared" si="69"/>
        <v>0</v>
      </c>
    </row>
    <row r="388" spans="2:8" x14ac:dyDescent="0.25">
      <c r="B388" s="47"/>
      <c r="C388" s="74"/>
      <c r="D388" s="34">
        <v>0.15</v>
      </c>
      <c r="E388" s="34">
        <f>C388*D388</f>
        <v>0</v>
      </c>
      <c r="F388" s="34"/>
      <c r="G388" s="34">
        <f t="shared" si="70"/>
        <v>0</v>
      </c>
      <c r="H388" s="34">
        <f t="shared" si="69"/>
        <v>0</v>
      </c>
    </row>
    <row r="389" spans="2:8" x14ac:dyDescent="0.25">
      <c r="B389" s="47"/>
      <c r="C389" s="74"/>
      <c r="D389" s="34">
        <v>8.9999999999999993E-3</v>
      </c>
      <c r="E389" s="34">
        <f>C389*D389</f>
        <v>0</v>
      </c>
      <c r="F389" s="34"/>
      <c r="G389" s="34">
        <f t="shared" si="70"/>
        <v>0</v>
      </c>
      <c r="H389" s="34">
        <f t="shared" si="69"/>
        <v>0</v>
      </c>
    </row>
    <row r="390" spans="2:8" x14ac:dyDescent="0.25">
      <c r="B390" s="47"/>
      <c r="C390" s="74"/>
      <c r="D390" s="34">
        <v>0.15</v>
      </c>
      <c r="E390" s="34">
        <f t="shared" ref="E390:E400" si="71">C390*D390</f>
        <v>0</v>
      </c>
      <c r="F390" s="34"/>
      <c r="G390" s="34">
        <f t="shared" si="70"/>
        <v>0</v>
      </c>
      <c r="H390" s="34">
        <f t="shared" si="69"/>
        <v>0</v>
      </c>
    </row>
    <row r="391" spans="2:8" x14ac:dyDescent="0.25">
      <c r="B391" s="47"/>
      <c r="C391" s="74"/>
      <c r="D391" s="34">
        <v>0.15</v>
      </c>
      <c r="E391" s="34">
        <f t="shared" si="71"/>
        <v>0</v>
      </c>
      <c r="F391" s="34"/>
      <c r="G391" s="34">
        <f>F391*0.15</f>
        <v>0</v>
      </c>
      <c r="H391" s="34">
        <f t="shared" si="69"/>
        <v>0</v>
      </c>
    </row>
    <row r="392" spans="2:8" x14ac:dyDescent="0.25">
      <c r="B392" s="47"/>
      <c r="C392" s="74"/>
      <c r="D392" s="34">
        <v>0.15</v>
      </c>
      <c r="E392" s="34">
        <f t="shared" si="71"/>
        <v>0</v>
      </c>
      <c r="F392" s="34"/>
      <c r="G392" s="34">
        <f t="shared" ref="G392:G398" si="72">F392*0.08</f>
        <v>0</v>
      </c>
      <c r="H392" s="34">
        <f t="shared" si="69"/>
        <v>0</v>
      </c>
    </row>
    <row r="393" spans="2:8" x14ac:dyDescent="0.25">
      <c r="B393" s="47"/>
      <c r="C393" s="74"/>
      <c r="D393" s="34">
        <v>0.15</v>
      </c>
      <c r="E393" s="34">
        <f t="shared" si="71"/>
        <v>0</v>
      </c>
      <c r="F393" s="34"/>
      <c r="G393" s="34">
        <f t="shared" si="72"/>
        <v>0</v>
      </c>
      <c r="H393" s="34">
        <f t="shared" si="69"/>
        <v>0</v>
      </c>
    </row>
    <row r="394" spans="2:8" x14ac:dyDescent="0.25">
      <c r="B394" s="47"/>
      <c r="C394" s="74"/>
      <c r="D394" s="34">
        <v>0.15</v>
      </c>
      <c r="E394" s="34">
        <f t="shared" si="71"/>
        <v>0</v>
      </c>
      <c r="F394" s="34"/>
      <c r="G394" s="34">
        <f t="shared" si="72"/>
        <v>0</v>
      </c>
      <c r="H394" s="34">
        <f t="shared" si="69"/>
        <v>0</v>
      </c>
    </row>
    <row r="395" spans="2:8" x14ac:dyDescent="0.25">
      <c r="B395" s="47"/>
      <c r="C395" s="74"/>
      <c r="D395" s="34">
        <v>0.15</v>
      </c>
      <c r="E395" s="34">
        <f t="shared" si="71"/>
        <v>0</v>
      </c>
      <c r="F395" s="34"/>
      <c r="G395" s="34">
        <f t="shared" si="72"/>
        <v>0</v>
      </c>
      <c r="H395" s="34">
        <f t="shared" si="69"/>
        <v>0</v>
      </c>
    </row>
    <row r="396" spans="2:8" x14ac:dyDescent="0.25">
      <c r="B396" s="47"/>
      <c r="C396" s="74"/>
      <c r="D396" s="34">
        <v>0.15</v>
      </c>
      <c r="E396" s="34">
        <f t="shared" si="71"/>
        <v>0</v>
      </c>
      <c r="F396" s="34"/>
      <c r="G396" s="34">
        <f t="shared" si="72"/>
        <v>0</v>
      </c>
      <c r="H396" s="34">
        <f t="shared" si="69"/>
        <v>0</v>
      </c>
    </row>
    <row r="397" spans="2:8" x14ac:dyDescent="0.25">
      <c r="B397" s="47"/>
      <c r="C397" s="74"/>
      <c r="D397" s="34">
        <v>0.15</v>
      </c>
      <c r="E397" s="34">
        <f t="shared" si="71"/>
        <v>0</v>
      </c>
      <c r="F397" s="34"/>
      <c r="G397" s="34">
        <f t="shared" si="72"/>
        <v>0</v>
      </c>
      <c r="H397" s="34">
        <f t="shared" si="69"/>
        <v>0</v>
      </c>
    </row>
    <row r="398" spans="2:8" x14ac:dyDescent="0.25">
      <c r="B398" s="47"/>
      <c r="C398" s="74"/>
      <c r="D398" s="34">
        <v>0.15</v>
      </c>
      <c r="E398" s="34">
        <f t="shared" si="71"/>
        <v>0</v>
      </c>
      <c r="F398" s="34"/>
      <c r="G398" s="34">
        <f t="shared" si="72"/>
        <v>0</v>
      </c>
      <c r="H398" s="34">
        <f t="shared" si="69"/>
        <v>0</v>
      </c>
    </row>
    <row r="399" spans="2:8" x14ac:dyDescent="0.25">
      <c r="B399" s="1"/>
      <c r="C399" s="74"/>
      <c r="D399" s="34">
        <v>0.15</v>
      </c>
      <c r="E399" s="34">
        <f t="shared" si="71"/>
        <v>0</v>
      </c>
      <c r="F399" s="34"/>
      <c r="G399" s="34">
        <f t="shared" ref="G399:G400" si="73">F399*D399</f>
        <v>0</v>
      </c>
      <c r="H399" s="34">
        <f t="shared" si="69"/>
        <v>0</v>
      </c>
    </row>
    <row r="400" spans="2:8" x14ac:dyDescent="0.25">
      <c r="B400" s="47"/>
      <c r="C400" s="74"/>
      <c r="D400" s="34">
        <v>0.15</v>
      </c>
      <c r="E400" s="34">
        <f t="shared" si="71"/>
        <v>0</v>
      </c>
      <c r="F400" s="34"/>
      <c r="G400" s="34">
        <f t="shared" si="73"/>
        <v>0</v>
      </c>
      <c r="H400" s="34">
        <f t="shared" si="69"/>
        <v>0</v>
      </c>
    </row>
    <row r="401" spans="2:8" x14ac:dyDescent="0.25">
      <c r="B401" s="130"/>
      <c r="C401" s="102">
        <f>SUM(C388:C400)</f>
        <v>0</v>
      </c>
      <c r="D401" s="102">
        <v>0.15</v>
      </c>
      <c r="E401" s="102">
        <f>SUM(E388:E400)</f>
        <v>0</v>
      </c>
      <c r="F401" s="102">
        <f>SUM(F386:F400)</f>
        <v>0</v>
      </c>
      <c r="G401" s="102">
        <f>SUM(G386:G400)</f>
        <v>0</v>
      </c>
      <c r="H401" s="102">
        <f t="shared" si="69"/>
        <v>0</v>
      </c>
    </row>
    <row r="402" spans="2:8" ht="15.75" thickBot="1" x14ac:dyDescent="0.3">
      <c r="B402" s="5"/>
      <c r="C402" s="62"/>
      <c r="D402" s="63"/>
      <c r="E402" s="75" t="s">
        <v>84</v>
      </c>
      <c r="F402" s="76">
        <f>C401-F401</f>
        <v>0</v>
      </c>
      <c r="G402" s="77" t="s">
        <v>85</v>
      </c>
      <c r="H402" s="76">
        <f>(E386+E387+E401)-G401</f>
        <v>5</v>
      </c>
    </row>
  </sheetData>
  <mergeCells count="20">
    <mergeCell ref="B202:H202"/>
    <mergeCell ref="B293:H293"/>
    <mergeCell ref="B316:H316"/>
    <mergeCell ref="B225:H225"/>
    <mergeCell ref="B384:H384"/>
    <mergeCell ref="K4:M4"/>
    <mergeCell ref="K5:M5"/>
    <mergeCell ref="B3:H3"/>
    <mergeCell ref="B31:H31"/>
    <mergeCell ref="B55:H55"/>
    <mergeCell ref="B76:H76"/>
    <mergeCell ref="B118:H118"/>
    <mergeCell ref="B248:H248"/>
    <mergeCell ref="B271:H271"/>
    <mergeCell ref="B338:H338"/>
    <mergeCell ref="B359:H359"/>
    <mergeCell ref="B97:H97"/>
    <mergeCell ref="B139:H139"/>
    <mergeCell ref="B160:H160"/>
    <mergeCell ref="B181:H181"/>
  </mergeCells>
  <pageMargins left="0.7" right="0.7" top="0.75" bottom="0.75" header="0.3" footer="0.3"/>
  <pageSetup paperSize="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2"/>
  <sheetViews>
    <sheetView workbookViewId="0">
      <selection activeCell="D41" sqref="D41"/>
    </sheetView>
  </sheetViews>
  <sheetFormatPr baseColWidth="10" defaultRowHeight="15" x14ac:dyDescent="0.25"/>
  <cols>
    <col min="1" max="1" width="3.85546875" customWidth="1"/>
    <col min="2" max="2" width="11.140625" customWidth="1"/>
    <col min="3" max="3" width="27.7109375" customWidth="1"/>
    <col min="4" max="4" width="10.140625" customWidth="1"/>
    <col min="11" max="11" width="13" customWidth="1"/>
    <col min="13" max="13" width="24.28515625" customWidth="1"/>
  </cols>
  <sheetData>
    <row r="2" spans="2:13" ht="51" customHeight="1" thickBot="1" x14ac:dyDescent="0.3"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2:13" x14ac:dyDescent="0.25">
      <c r="B3" s="283" t="s">
        <v>108</v>
      </c>
      <c r="C3" s="284"/>
      <c r="D3" s="285"/>
      <c r="E3" s="286" t="s">
        <v>167</v>
      </c>
      <c r="F3" s="287"/>
      <c r="G3" s="287"/>
      <c r="H3" s="287"/>
      <c r="I3" s="287"/>
      <c r="J3" s="287"/>
      <c r="K3" s="287"/>
      <c r="L3" s="287"/>
    </row>
    <row r="4" spans="2:13" x14ac:dyDescent="0.25">
      <c r="B4" s="116" t="s">
        <v>106</v>
      </c>
      <c r="C4" s="116" t="s">
        <v>107</v>
      </c>
      <c r="D4" s="116" t="s">
        <v>105</v>
      </c>
      <c r="E4" s="131" t="s">
        <v>73</v>
      </c>
      <c r="F4" s="80" t="s">
        <v>63</v>
      </c>
      <c r="G4" s="80" t="s">
        <v>69</v>
      </c>
      <c r="H4" s="80" t="s">
        <v>57</v>
      </c>
      <c r="I4" s="80" t="s">
        <v>58</v>
      </c>
      <c r="J4" s="80" t="s">
        <v>59</v>
      </c>
      <c r="K4" s="80" t="s">
        <v>55</v>
      </c>
      <c r="L4" s="53" t="s">
        <v>76</v>
      </c>
    </row>
    <row r="5" spans="2:13" x14ac:dyDescent="0.25">
      <c r="B5" s="1"/>
      <c r="C5" s="1"/>
      <c r="D5" s="1"/>
      <c r="E5" s="137"/>
      <c r="F5" s="132">
        <v>46150</v>
      </c>
      <c r="G5" s="78"/>
      <c r="H5" s="10"/>
      <c r="I5" s="78"/>
      <c r="J5" s="78"/>
      <c r="K5" s="10">
        <v>270.18</v>
      </c>
      <c r="L5" s="78" t="s">
        <v>121</v>
      </c>
      <c r="M5" s="4"/>
    </row>
    <row r="6" spans="2:13" x14ac:dyDescent="0.25">
      <c r="B6" s="1"/>
      <c r="C6" s="1"/>
      <c r="D6" s="1"/>
      <c r="E6" s="133"/>
      <c r="F6" s="132"/>
      <c r="G6" s="78"/>
      <c r="H6" s="78"/>
      <c r="I6" s="78"/>
      <c r="J6" s="78"/>
      <c r="K6" s="78"/>
      <c r="L6" s="78"/>
    </row>
    <row r="7" spans="2:13" x14ac:dyDescent="0.25">
      <c r="B7" s="1"/>
      <c r="C7" s="1"/>
      <c r="D7" s="1"/>
      <c r="E7" s="133"/>
      <c r="F7" s="132"/>
      <c r="G7" s="78"/>
      <c r="H7" s="78"/>
      <c r="I7" s="78"/>
      <c r="J7" s="78"/>
      <c r="K7" s="78"/>
      <c r="L7" s="78"/>
    </row>
    <row r="8" spans="2:13" x14ac:dyDescent="0.25">
      <c r="B8" s="1"/>
      <c r="C8" s="1"/>
      <c r="D8" s="1"/>
      <c r="E8" s="134"/>
      <c r="F8" s="135"/>
      <c r="G8" s="78"/>
      <c r="H8" s="78"/>
      <c r="I8" s="78"/>
      <c r="J8" s="78"/>
      <c r="K8" s="78"/>
      <c r="L8" s="78"/>
    </row>
    <row r="9" spans="2:13" x14ac:dyDescent="0.25">
      <c r="B9" s="1"/>
      <c r="C9" s="1"/>
      <c r="D9" s="1"/>
      <c r="E9" s="133"/>
      <c r="F9" s="136"/>
      <c r="G9" s="78"/>
      <c r="H9" s="78"/>
      <c r="I9" s="78"/>
      <c r="J9" s="78"/>
      <c r="K9" s="78"/>
      <c r="L9" s="78"/>
    </row>
    <row r="10" spans="2:13" x14ac:dyDescent="0.25">
      <c r="B10" s="288" t="s">
        <v>114</v>
      </c>
      <c r="C10" s="289"/>
      <c r="D10" s="116">
        <f>SUM(D5:D9)</f>
        <v>0</v>
      </c>
      <c r="E10" s="115"/>
      <c r="F10" s="51"/>
      <c r="G10" s="51" t="s">
        <v>98</v>
      </c>
      <c r="H10" s="102">
        <f>SUM(H5:H9)</f>
        <v>0</v>
      </c>
      <c r="I10" s="51">
        <f>SUM(I5:I9)</f>
        <v>0</v>
      </c>
      <c r="J10" s="51">
        <f>SUM(J5:J9)</f>
        <v>0</v>
      </c>
      <c r="K10" s="102">
        <f>SUM(K5:K9)</f>
        <v>270.18</v>
      </c>
      <c r="L10" s="51"/>
    </row>
    <row r="11" spans="2:13" x14ac:dyDescent="0.25">
      <c r="E11" s="5"/>
      <c r="F11" s="290" t="s">
        <v>113</v>
      </c>
      <c r="G11" s="290"/>
      <c r="H11" s="290"/>
      <c r="I11" s="290"/>
      <c r="J11" s="290"/>
      <c r="K11" s="104">
        <f>K10+D10</f>
        <v>270.18</v>
      </c>
      <c r="L11" s="5"/>
    </row>
    <row r="15" spans="2:13" ht="15.75" thickBot="1" x14ac:dyDescent="0.3">
      <c r="B15" s="282"/>
      <c r="C15" s="282"/>
      <c r="D15" s="282"/>
      <c r="E15" s="282"/>
      <c r="F15" s="282"/>
      <c r="G15" s="282"/>
      <c r="H15" s="282"/>
      <c r="I15" s="282"/>
      <c r="J15" s="282"/>
      <c r="K15" s="282"/>
      <c r="L15" s="282"/>
    </row>
    <row r="16" spans="2:13" x14ac:dyDescent="0.25">
      <c r="B16" s="283" t="s">
        <v>108</v>
      </c>
      <c r="C16" s="284"/>
      <c r="D16" s="285"/>
      <c r="E16" s="286" t="s">
        <v>165</v>
      </c>
      <c r="F16" s="287"/>
      <c r="G16" s="287"/>
      <c r="H16" s="287"/>
      <c r="I16" s="287"/>
      <c r="J16" s="287"/>
      <c r="K16" s="287"/>
      <c r="L16" s="287"/>
    </row>
    <row r="17" spans="2:12" x14ac:dyDescent="0.25">
      <c r="B17" s="116" t="s">
        <v>106</v>
      </c>
      <c r="C17" s="116" t="s">
        <v>107</v>
      </c>
      <c r="D17" s="116" t="s">
        <v>105</v>
      </c>
      <c r="E17" s="156" t="s">
        <v>73</v>
      </c>
      <c r="F17" s="80" t="s">
        <v>63</v>
      </c>
      <c r="G17" s="80" t="s">
        <v>69</v>
      </c>
      <c r="H17" s="80" t="s">
        <v>57</v>
      </c>
      <c r="I17" s="80" t="s">
        <v>58</v>
      </c>
      <c r="J17" s="80" t="s">
        <v>59</v>
      </c>
      <c r="K17" s="80" t="s">
        <v>55</v>
      </c>
      <c r="L17" s="53" t="s">
        <v>76</v>
      </c>
    </row>
    <row r="18" spans="2:12" x14ac:dyDescent="0.25">
      <c r="B18" s="1"/>
      <c r="C18" s="1"/>
      <c r="D18" s="1"/>
      <c r="E18" s="137"/>
      <c r="F18" s="132">
        <v>46155</v>
      </c>
      <c r="G18" s="78"/>
      <c r="H18" s="10">
        <v>47.2</v>
      </c>
      <c r="I18" s="78"/>
      <c r="J18" s="78"/>
      <c r="K18" s="10">
        <v>47.2</v>
      </c>
      <c r="L18" s="78" t="s">
        <v>121</v>
      </c>
    </row>
    <row r="19" spans="2:12" x14ac:dyDescent="0.25">
      <c r="B19" s="1"/>
      <c r="C19" s="1"/>
      <c r="D19" s="1"/>
      <c r="E19" s="133"/>
      <c r="F19" s="132">
        <v>46226</v>
      </c>
      <c r="G19" s="78"/>
      <c r="H19" s="78"/>
      <c r="I19" s="78">
        <v>175.4</v>
      </c>
      <c r="J19" s="78"/>
      <c r="K19" s="78"/>
      <c r="L19" s="78"/>
    </row>
    <row r="20" spans="2:12" x14ac:dyDescent="0.25">
      <c r="B20" s="1"/>
      <c r="C20" s="1"/>
      <c r="D20" s="1"/>
      <c r="E20" s="133"/>
      <c r="F20" s="132"/>
      <c r="G20" s="78"/>
      <c r="H20" s="78"/>
      <c r="I20" s="78"/>
      <c r="J20" s="78"/>
      <c r="K20" s="78"/>
      <c r="L20" s="78"/>
    </row>
    <row r="21" spans="2:12" x14ac:dyDescent="0.25">
      <c r="B21" s="1"/>
      <c r="C21" s="1"/>
      <c r="D21" s="1"/>
      <c r="E21" s="134"/>
      <c r="F21" s="135"/>
      <c r="G21" s="78"/>
      <c r="H21" s="78"/>
      <c r="I21" s="78"/>
      <c r="J21" s="78"/>
      <c r="K21" s="78"/>
      <c r="L21" s="78"/>
    </row>
    <row r="22" spans="2:12" x14ac:dyDescent="0.25">
      <c r="B22" s="1"/>
      <c r="C22" s="1"/>
      <c r="D22" s="1"/>
      <c r="E22" s="133"/>
      <c r="F22" s="136"/>
      <c r="G22" s="78"/>
      <c r="H22" s="78"/>
      <c r="I22" s="78"/>
      <c r="J22" s="78"/>
      <c r="K22" s="78"/>
      <c r="L22" s="78"/>
    </row>
    <row r="23" spans="2:12" x14ac:dyDescent="0.25">
      <c r="B23" s="288" t="s">
        <v>114</v>
      </c>
      <c r="C23" s="289"/>
      <c r="D23" s="116">
        <f>SUM(D18:D22)</f>
        <v>0</v>
      </c>
      <c r="E23" s="115"/>
      <c r="F23" s="51"/>
      <c r="G23" s="51" t="s">
        <v>98</v>
      </c>
      <c r="H23" s="102">
        <f>SUM(H18:H22)</f>
        <v>47.2</v>
      </c>
      <c r="I23" s="51">
        <f>SUM(I18:I22)</f>
        <v>175.4</v>
      </c>
      <c r="J23" s="51">
        <f>SUM(J18:J22)</f>
        <v>0</v>
      </c>
      <c r="K23" s="102">
        <f>SUM(K18:K22)</f>
        <v>47.2</v>
      </c>
      <c r="L23" s="51"/>
    </row>
    <row r="24" spans="2:12" x14ac:dyDescent="0.25">
      <c r="E24" s="5"/>
      <c r="F24" s="290" t="s">
        <v>113</v>
      </c>
      <c r="G24" s="290"/>
      <c r="H24" s="290"/>
      <c r="I24" s="290"/>
      <c r="J24" s="290"/>
      <c r="K24" s="104">
        <f>SUM(I23+H18-J23)</f>
        <v>222.60000000000002</v>
      </c>
      <c r="L24" s="5"/>
    </row>
    <row r="28" spans="2:12" ht="15.75" thickBot="1" x14ac:dyDescent="0.3"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</row>
    <row r="29" spans="2:12" x14ac:dyDescent="0.25">
      <c r="B29" s="283" t="s">
        <v>108</v>
      </c>
      <c r="C29" s="284"/>
      <c r="D29" s="285"/>
      <c r="E29" s="286" t="s">
        <v>233</v>
      </c>
      <c r="F29" s="287"/>
      <c r="G29" s="287"/>
      <c r="H29" s="287"/>
      <c r="I29" s="287"/>
      <c r="J29" s="287"/>
      <c r="K29" s="287"/>
      <c r="L29" s="287"/>
    </row>
    <row r="30" spans="2:12" x14ac:dyDescent="0.25">
      <c r="B30" s="116" t="s">
        <v>106</v>
      </c>
      <c r="C30" s="116" t="s">
        <v>107</v>
      </c>
      <c r="D30" s="116" t="s">
        <v>105</v>
      </c>
      <c r="E30" s="184" t="s">
        <v>73</v>
      </c>
      <c r="F30" s="80" t="s">
        <v>63</v>
      </c>
      <c r="G30" s="80" t="s">
        <v>69</v>
      </c>
      <c r="H30" s="80" t="s">
        <v>57</v>
      </c>
      <c r="I30" s="80" t="s">
        <v>58</v>
      </c>
      <c r="J30" s="80" t="s">
        <v>59</v>
      </c>
      <c r="K30" s="80" t="s">
        <v>55</v>
      </c>
      <c r="L30" s="53" t="s">
        <v>76</v>
      </c>
    </row>
    <row r="31" spans="2:12" x14ac:dyDescent="0.25">
      <c r="B31" s="47">
        <v>46231</v>
      </c>
      <c r="C31" s="1" t="s">
        <v>234</v>
      </c>
      <c r="D31" s="1">
        <v>15.6</v>
      </c>
      <c r="E31" s="137"/>
      <c r="F31" s="132"/>
      <c r="G31" s="78"/>
      <c r="H31" s="10"/>
      <c r="I31" s="78"/>
      <c r="J31" s="78"/>
      <c r="K31" s="10"/>
      <c r="L31" s="78"/>
    </row>
    <row r="32" spans="2:12" x14ac:dyDescent="0.25">
      <c r="B32" s="1"/>
      <c r="C32" s="1" t="s">
        <v>234</v>
      </c>
      <c r="D32" s="1">
        <v>19.2</v>
      </c>
      <c r="E32" s="133"/>
      <c r="F32" s="132"/>
      <c r="G32" s="78"/>
      <c r="H32" s="78"/>
      <c r="I32" s="78"/>
      <c r="J32" s="78"/>
      <c r="K32" s="78"/>
      <c r="L32" s="78"/>
    </row>
    <row r="33" spans="2:12" x14ac:dyDescent="0.25">
      <c r="B33" s="1"/>
      <c r="C33" s="1" t="s">
        <v>234</v>
      </c>
      <c r="D33" s="1">
        <v>18.399999999999999</v>
      </c>
      <c r="E33" s="133"/>
      <c r="F33" s="132"/>
      <c r="G33" s="78"/>
      <c r="H33" s="78"/>
      <c r="I33" s="78"/>
      <c r="J33" s="78"/>
      <c r="K33" s="78"/>
      <c r="L33" s="78"/>
    </row>
    <row r="34" spans="2:12" x14ac:dyDescent="0.25">
      <c r="B34" s="1"/>
      <c r="C34" s="1" t="s">
        <v>234</v>
      </c>
      <c r="D34" s="1">
        <v>19.2</v>
      </c>
      <c r="E34" s="134"/>
      <c r="F34" s="135"/>
      <c r="G34" s="78"/>
      <c r="H34" s="78"/>
      <c r="I34" s="78"/>
      <c r="J34" s="78"/>
      <c r="K34" s="78"/>
      <c r="L34" s="78"/>
    </row>
    <row r="35" spans="2:12" x14ac:dyDescent="0.25">
      <c r="B35" s="1"/>
      <c r="C35" s="1" t="s">
        <v>234</v>
      </c>
      <c r="D35" s="1">
        <v>8.6</v>
      </c>
      <c r="E35" s="134"/>
      <c r="F35" s="135"/>
      <c r="G35" s="78"/>
      <c r="H35" s="78"/>
      <c r="I35" s="78"/>
      <c r="J35" s="78"/>
      <c r="K35" s="78"/>
      <c r="L35" s="78"/>
    </row>
    <row r="36" spans="2:12" x14ac:dyDescent="0.25">
      <c r="B36" s="1"/>
      <c r="C36" s="1" t="s">
        <v>234</v>
      </c>
      <c r="D36" s="1">
        <v>16.2</v>
      </c>
      <c r="E36" s="134"/>
      <c r="F36" s="135"/>
      <c r="G36" s="78"/>
      <c r="H36" s="78"/>
      <c r="I36" s="78"/>
      <c r="J36" s="78"/>
      <c r="K36" s="78"/>
      <c r="L36" s="78"/>
    </row>
    <row r="37" spans="2:12" x14ac:dyDescent="0.25">
      <c r="B37" s="1"/>
      <c r="C37" s="1" t="s">
        <v>234</v>
      </c>
      <c r="D37" s="1">
        <v>13.8</v>
      </c>
      <c r="E37" s="134"/>
      <c r="F37" s="135"/>
      <c r="G37" s="78"/>
      <c r="H37" s="78"/>
      <c r="I37" s="78"/>
      <c r="J37" s="78"/>
      <c r="K37" s="78"/>
      <c r="L37" s="78"/>
    </row>
    <row r="38" spans="2:12" x14ac:dyDescent="0.25">
      <c r="B38" s="1"/>
      <c r="C38" s="1" t="s">
        <v>234</v>
      </c>
      <c r="D38" s="1">
        <v>15.2</v>
      </c>
      <c r="E38" s="134"/>
      <c r="F38" s="135"/>
      <c r="G38" s="78"/>
      <c r="H38" s="78"/>
      <c r="I38" s="78"/>
      <c r="J38" s="78"/>
      <c r="K38" s="78"/>
      <c r="L38" s="78"/>
    </row>
    <row r="39" spans="2:12" x14ac:dyDescent="0.25">
      <c r="B39" s="1"/>
      <c r="C39" s="1" t="s">
        <v>234</v>
      </c>
      <c r="D39" s="1">
        <v>11.6</v>
      </c>
      <c r="E39" s="134"/>
      <c r="F39" s="135"/>
      <c r="G39" s="78"/>
      <c r="H39" s="78"/>
      <c r="I39" s="78"/>
      <c r="J39" s="78"/>
      <c r="K39" s="78"/>
      <c r="L39" s="78"/>
    </row>
    <row r="40" spans="2:12" x14ac:dyDescent="0.25">
      <c r="B40" s="1"/>
      <c r="C40" s="1" t="s">
        <v>234</v>
      </c>
      <c r="D40" s="1">
        <v>12.4</v>
      </c>
      <c r="E40" s="133"/>
      <c r="F40" s="136"/>
      <c r="G40" s="78"/>
      <c r="H40" s="78"/>
      <c r="I40" s="78"/>
      <c r="J40" s="78"/>
      <c r="K40" s="78"/>
      <c r="L40" s="78"/>
    </row>
    <row r="41" spans="2:12" x14ac:dyDescent="0.25">
      <c r="B41" s="288" t="s">
        <v>114</v>
      </c>
      <c r="C41" s="289"/>
      <c r="D41" s="121">
        <f>SUM(D31:D40)</f>
        <v>150.19999999999999</v>
      </c>
      <c r="E41" s="115"/>
      <c r="F41" s="51"/>
      <c r="G41" s="51" t="s">
        <v>98</v>
      </c>
      <c r="H41" s="102">
        <f>SUM(H31:H40)</f>
        <v>0</v>
      </c>
      <c r="I41" s="51">
        <f>SUM(I31:I40)</f>
        <v>0</v>
      </c>
      <c r="J41" s="51">
        <f>SUM(J31:J40)</f>
        <v>0</v>
      </c>
      <c r="K41" s="102">
        <f>SUM(K31:K40)</f>
        <v>0</v>
      </c>
      <c r="L41" s="51"/>
    </row>
    <row r="42" spans="2:12" x14ac:dyDescent="0.25">
      <c r="E42" s="5"/>
      <c r="F42" s="290" t="s">
        <v>113</v>
      </c>
      <c r="G42" s="290"/>
      <c r="H42" s="290"/>
      <c r="I42" s="290"/>
      <c r="J42" s="290"/>
      <c r="K42" s="104">
        <f>K41+D41</f>
        <v>150.19999999999999</v>
      </c>
      <c r="L42" s="5"/>
    </row>
  </sheetData>
  <mergeCells count="15">
    <mergeCell ref="B28:L28"/>
    <mergeCell ref="B29:D29"/>
    <mergeCell ref="E29:L29"/>
    <mergeCell ref="B41:C41"/>
    <mergeCell ref="F42:J42"/>
    <mergeCell ref="B3:D3"/>
    <mergeCell ref="E3:L3"/>
    <mergeCell ref="B10:C10"/>
    <mergeCell ref="F11:J11"/>
    <mergeCell ref="B2:L2"/>
    <mergeCell ref="B15:L15"/>
    <mergeCell ref="B16:D16"/>
    <mergeCell ref="E16:L16"/>
    <mergeCell ref="B23:C23"/>
    <mergeCell ref="F24:J24"/>
  </mergeCells>
  <pageMargins left="0.7" right="0.7" top="0.75" bottom="0.75" header="0.3" footer="0.3"/>
  <pageSetup paperSize="5" scale="74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V289"/>
  <sheetViews>
    <sheetView topLeftCell="A247" workbookViewId="0">
      <selection activeCell="B124" sqref="B124:L137"/>
    </sheetView>
  </sheetViews>
  <sheetFormatPr baseColWidth="10" defaultRowHeight="15" x14ac:dyDescent="0.25"/>
  <cols>
    <col min="1" max="1" width="2.42578125" customWidth="1"/>
    <col min="2" max="2" width="14.140625" customWidth="1"/>
    <col min="3" max="3" width="12.42578125" customWidth="1"/>
    <col min="4" max="4" width="13.5703125" customWidth="1"/>
    <col min="5" max="5" width="9.7109375" customWidth="1"/>
    <col min="6" max="6" width="11.140625" customWidth="1"/>
    <col min="7" max="7" width="9.7109375" customWidth="1"/>
    <col min="8" max="8" width="11.42578125" customWidth="1"/>
    <col min="9" max="9" width="8.7109375" customWidth="1"/>
    <col min="10" max="10" width="8" customWidth="1"/>
    <col min="11" max="11" width="25.7109375" customWidth="1"/>
    <col min="12" max="12" width="13" customWidth="1"/>
    <col min="13" max="13" width="21.5703125" customWidth="1"/>
    <col min="14" max="14" width="37.5703125" customWidth="1"/>
    <col min="15" max="15" width="19.140625" customWidth="1"/>
  </cols>
  <sheetData>
    <row r="2" spans="2:22" x14ac:dyDescent="0.25">
      <c r="K2" s="43"/>
    </row>
    <row r="3" spans="2:22" ht="15.75" thickBot="1" x14ac:dyDescent="0.3"/>
    <row r="4" spans="2:22" x14ac:dyDescent="0.25">
      <c r="B4" s="283" t="s">
        <v>108</v>
      </c>
      <c r="C4" s="284"/>
      <c r="D4" s="285"/>
      <c r="E4" s="286" t="s">
        <v>53</v>
      </c>
      <c r="F4" s="287"/>
      <c r="G4" s="287"/>
      <c r="H4" s="287"/>
      <c r="I4" s="287"/>
      <c r="J4" s="287"/>
      <c r="K4" s="287"/>
      <c r="L4" s="287"/>
      <c r="M4" s="43"/>
      <c r="N4" s="43"/>
      <c r="O4" s="43"/>
      <c r="S4" s="5"/>
      <c r="T4" s="5"/>
      <c r="U4" s="5"/>
      <c r="V4" s="5"/>
    </row>
    <row r="5" spans="2:22" x14ac:dyDescent="0.25">
      <c r="B5" s="116" t="s">
        <v>106</v>
      </c>
      <c r="C5" s="116" t="s">
        <v>107</v>
      </c>
      <c r="D5" s="116" t="s">
        <v>105</v>
      </c>
      <c r="E5" s="109" t="s">
        <v>73</v>
      </c>
      <c r="F5" s="80" t="s">
        <v>63</v>
      </c>
      <c r="G5" s="80" t="s">
        <v>69</v>
      </c>
      <c r="H5" s="80" t="s">
        <v>57</v>
      </c>
      <c r="I5" s="80" t="s">
        <v>58</v>
      </c>
      <c r="J5" s="80" t="s">
        <v>59</v>
      </c>
      <c r="K5" s="80" t="s">
        <v>55</v>
      </c>
      <c r="L5" s="53" t="s">
        <v>76</v>
      </c>
      <c r="M5" s="56"/>
      <c r="N5" s="56"/>
      <c r="O5" s="43"/>
      <c r="P5" s="5"/>
      <c r="Q5" s="5"/>
      <c r="R5" s="5"/>
      <c r="S5" s="5"/>
    </row>
    <row r="6" spans="2:22" x14ac:dyDescent="0.25">
      <c r="B6" s="1"/>
      <c r="C6" s="1"/>
      <c r="D6" s="1"/>
      <c r="E6" s="110">
        <v>1</v>
      </c>
      <c r="F6" s="68"/>
      <c r="G6" s="69"/>
      <c r="H6" s="69"/>
      <c r="I6" s="69"/>
      <c r="J6" s="69"/>
      <c r="K6" s="69">
        <v>257.60000000000002</v>
      </c>
      <c r="L6" s="69" t="s">
        <v>75</v>
      </c>
      <c r="M6" s="43"/>
      <c r="N6" s="43"/>
      <c r="O6" s="43"/>
    </row>
    <row r="7" spans="2:22" x14ac:dyDescent="0.25">
      <c r="B7" s="1"/>
      <c r="C7" s="1"/>
      <c r="D7" s="1"/>
      <c r="E7" s="110">
        <v>2</v>
      </c>
      <c r="F7" s="68"/>
      <c r="G7" s="69"/>
      <c r="H7" s="69"/>
      <c r="I7" s="69"/>
      <c r="J7" s="69"/>
      <c r="K7" s="69">
        <v>488.30500000000001</v>
      </c>
      <c r="L7" s="69" t="s">
        <v>75</v>
      </c>
      <c r="M7" s="43"/>
      <c r="N7" s="43"/>
      <c r="O7" s="43"/>
    </row>
    <row r="8" spans="2:22" x14ac:dyDescent="0.25">
      <c r="B8" s="1"/>
      <c r="C8" s="1"/>
      <c r="D8" s="1"/>
      <c r="E8" s="110">
        <v>3</v>
      </c>
      <c r="F8" s="68"/>
      <c r="G8" s="69"/>
      <c r="H8" s="69"/>
      <c r="I8" s="69"/>
      <c r="J8" s="69"/>
      <c r="K8" s="69">
        <v>370.4</v>
      </c>
      <c r="L8" s="69" t="s">
        <v>75</v>
      </c>
      <c r="M8" s="43"/>
      <c r="N8" s="43"/>
      <c r="O8" s="43"/>
    </row>
    <row r="9" spans="2:22" x14ac:dyDescent="0.25">
      <c r="B9" s="1"/>
      <c r="C9" s="1"/>
      <c r="D9" s="1"/>
      <c r="E9" s="110">
        <v>4</v>
      </c>
      <c r="F9" s="68"/>
      <c r="G9" s="69"/>
      <c r="H9" s="69"/>
      <c r="I9" s="69"/>
      <c r="J9" s="69"/>
      <c r="K9" s="69">
        <v>468</v>
      </c>
      <c r="L9" s="69" t="s">
        <v>75</v>
      </c>
      <c r="M9" s="43"/>
      <c r="N9" s="43"/>
      <c r="O9" s="43"/>
    </row>
    <row r="10" spans="2:22" x14ac:dyDescent="0.25">
      <c r="B10" s="1"/>
      <c r="C10" s="1"/>
      <c r="D10" s="1"/>
      <c r="E10" s="110">
        <v>5</v>
      </c>
      <c r="F10" s="68"/>
      <c r="G10" s="69"/>
      <c r="H10" s="69"/>
      <c r="I10" s="69"/>
      <c r="J10" s="69"/>
      <c r="K10" s="69">
        <v>746.2</v>
      </c>
      <c r="L10" s="69" t="s">
        <v>75</v>
      </c>
      <c r="M10" s="43"/>
      <c r="N10" s="43"/>
      <c r="O10" s="43"/>
    </row>
    <row r="11" spans="2:22" x14ac:dyDescent="0.25">
      <c r="B11" s="1"/>
      <c r="C11" s="1"/>
      <c r="D11" s="1"/>
      <c r="E11" s="110">
        <v>6</v>
      </c>
      <c r="F11" s="68"/>
      <c r="G11" s="69"/>
      <c r="H11" s="69"/>
      <c r="I11" s="69"/>
      <c r="J11" s="69"/>
      <c r="K11" s="69">
        <v>314</v>
      </c>
      <c r="L11" s="69" t="s">
        <v>75</v>
      </c>
      <c r="M11" s="43"/>
      <c r="N11" s="43"/>
      <c r="O11" s="43"/>
    </row>
    <row r="12" spans="2:22" x14ac:dyDescent="0.25">
      <c r="B12" s="1"/>
      <c r="C12" s="1"/>
      <c r="D12" s="1"/>
      <c r="E12" s="110">
        <v>7</v>
      </c>
      <c r="F12" s="68"/>
      <c r="G12" s="69"/>
      <c r="H12" s="69"/>
      <c r="I12" s="69"/>
      <c r="J12" s="69"/>
      <c r="K12" s="69">
        <v>221</v>
      </c>
      <c r="L12" s="69" t="s">
        <v>75</v>
      </c>
      <c r="M12" s="43"/>
      <c r="N12" s="43"/>
      <c r="O12" s="43"/>
    </row>
    <row r="13" spans="2:22" x14ac:dyDescent="0.25">
      <c r="B13" s="1"/>
      <c r="C13" s="1"/>
      <c r="D13" s="1"/>
      <c r="E13" s="110">
        <v>8</v>
      </c>
      <c r="F13" s="68"/>
      <c r="G13" s="69"/>
      <c r="H13" s="69"/>
      <c r="I13" s="69"/>
      <c r="J13" s="69"/>
      <c r="K13" s="69">
        <v>297.83999999999997</v>
      </c>
      <c r="L13" s="69" t="s">
        <v>75</v>
      </c>
      <c r="M13" s="43"/>
      <c r="N13" s="43"/>
      <c r="O13" s="43"/>
    </row>
    <row r="14" spans="2:22" ht="15.75" thickBot="1" x14ac:dyDescent="0.3">
      <c r="B14" s="1"/>
      <c r="C14" s="1"/>
      <c r="D14" s="1"/>
      <c r="E14" s="111">
        <v>9</v>
      </c>
      <c r="F14" s="68"/>
      <c r="G14" s="69"/>
      <c r="H14" s="69"/>
      <c r="I14" s="69"/>
      <c r="J14" s="69"/>
      <c r="K14" s="69">
        <v>316</v>
      </c>
      <c r="L14" s="69" t="s">
        <v>75</v>
      </c>
      <c r="M14" s="43"/>
      <c r="N14" s="43"/>
      <c r="O14" s="43"/>
    </row>
    <row r="15" spans="2:22" ht="15.75" thickBot="1" x14ac:dyDescent="0.3">
      <c r="B15" s="1"/>
      <c r="C15" s="1"/>
      <c r="D15" s="1"/>
      <c r="E15" s="112">
        <v>10</v>
      </c>
      <c r="F15" s="105"/>
      <c r="G15" s="3"/>
      <c r="H15" s="3">
        <v>194.89500000000001</v>
      </c>
      <c r="I15" s="3"/>
      <c r="J15" s="3"/>
      <c r="K15" s="3">
        <f>H15+I24-J24</f>
        <v>194.89500000000001</v>
      </c>
      <c r="L15" s="3"/>
      <c r="M15" s="43"/>
      <c r="N15" s="43"/>
      <c r="O15" s="43"/>
    </row>
    <row r="16" spans="2:22" x14ac:dyDescent="0.25">
      <c r="B16" s="1"/>
      <c r="C16" s="1"/>
      <c r="D16" s="1"/>
      <c r="E16" s="113"/>
      <c r="F16" s="81"/>
      <c r="G16" s="3"/>
      <c r="H16" s="3"/>
      <c r="I16" s="3"/>
      <c r="J16" s="3"/>
      <c r="K16" s="3"/>
      <c r="L16" s="3"/>
      <c r="M16" s="43"/>
      <c r="N16" s="43"/>
      <c r="O16" s="43"/>
    </row>
    <row r="17" spans="2:15" x14ac:dyDescent="0.25">
      <c r="B17" s="1"/>
      <c r="C17" s="1"/>
      <c r="D17" s="1"/>
      <c r="E17" s="114"/>
      <c r="F17" s="81"/>
      <c r="G17" s="3"/>
      <c r="H17" s="3"/>
      <c r="I17" s="3"/>
      <c r="J17" s="3"/>
      <c r="K17" s="3"/>
      <c r="L17" s="3"/>
      <c r="M17" s="43"/>
      <c r="N17" s="43"/>
      <c r="O17" s="43"/>
    </row>
    <row r="18" spans="2:15" x14ac:dyDescent="0.25">
      <c r="B18" s="1"/>
      <c r="C18" s="1"/>
      <c r="D18" s="1"/>
      <c r="E18" s="114"/>
      <c r="F18" s="81"/>
      <c r="G18" s="3"/>
      <c r="H18" s="3"/>
      <c r="I18" s="3"/>
      <c r="J18" s="3"/>
      <c r="K18" s="3"/>
      <c r="L18" s="3"/>
      <c r="M18" s="43"/>
      <c r="N18" s="43"/>
      <c r="O18" s="43"/>
    </row>
    <row r="19" spans="2:15" x14ac:dyDescent="0.25">
      <c r="B19" s="1"/>
      <c r="C19" s="1"/>
      <c r="D19" s="1"/>
      <c r="E19" s="114"/>
      <c r="F19" s="81"/>
      <c r="G19" s="3"/>
      <c r="H19" s="3"/>
      <c r="I19" s="3"/>
      <c r="J19" s="3"/>
      <c r="K19" s="3"/>
      <c r="L19" s="3"/>
      <c r="M19" s="43"/>
      <c r="N19" s="43"/>
      <c r="O19" s="43"/>
    </row>
    <row r="20" spans="2:15" x14ac:dyDescent="0.25">
      <c r="B20" s="1"/>
      <c r="C20" s="1"/>
      <c r="D20" s="1"/>
      <c r="E20" s="115"/>
      <c r="F20" s="120"/>
      <c r="G20" s="3"/>
      <c r="H20" s="3"/>
      <c r="I20" s="3"/>
      <c r="J20" s="3"/>
      <c r="K20" s="3"/>
      <c r="L20" s="3"/>
      <c r="M20" s="43"/>
      <c r="N20" s="43"/>
      <c r="O20" s="43"/>
    </row>
    <row r="21" spans="2:15" x14ac:dyDescent="0.25">
      <c r="B21" s="1"/>
      <c r="C21" s="1"/>
      <c r="D21" s="1"/>
      <c r="E21" s="114"/>
      <c r="F21" s="73"/>
      <c r="G21" s="3"/>
      <c r="H21" s="3"/>
      <c r="I21" s="3"/>
      <c r="J21" s="3"/>
      <c r="K21" s="3"/>
      <c r="L21" s="3"/>
      <c r="M21" s="43"/>
      <c r="N21" s="43"/>
      <c r="O21" s="43"/>
    </row>
    <row r="22" spans="2:15" x14ac:dyDescent="0.25">
      <c r="B22" s="1"/>
      <c r="C22" s="1"/>
      <c r="D22" s="1"/>
      <c r="E22" s="114"/>
      <c r="F22" s="73"/>
      <c r="G22" s="3"/>
      <c r="H22" s="3"/>
      <c r="I22" s="3"/>
      <c r="J22" s="3"/>
      <c r="K22" s="3"/>
      <c r="L22" s="3"/>
      <c r="M22" s="43"/>
      <c r="N22" s="43"/>
      <c r="O22" s="43"/>
    </row>
    <row r="23" spans="2:15" x14ac:dyDescent="0.25">
      <c r="B23" s="1"/>
      <c r="C23" s="1"/>
      <c r="D23" s="1"/>
      <c r="E23" s="114"/>
      <c r="F23" s="73"/>
      <c r="G23" s="3"/>
      <c r="H23" s="3"/>
      <c r="I23" s="3"/>
      <c r="J23" s="3"/>
      <c r="K23" s="3"/>
      <c r="L23" s="3"/>
      <c r="M23" s="43"/>
      <c r="N23" s="43"/>
      <c r="O23" s="43"/>
    </row>
    <row r="24" spans="2:15" x14ac:dyDescent="0.25">
      <c r="B24" s="288" t="s">
        <v>114</v>
      </c>
      <c r="C24" s="289"/>
      <c r="D24" s="116">
        <f>SUM(D6:D23)</f>
        <v>0</v>
      </c>
      <c r="E24" s="115"/>
      <c r="F24" s="51"/>
      <c r="G24" s="51" t="s">
        <v>98</v>
      </c>
      <c r="H24" s="51">
        <f>SUM(H15:H23)</f>
        <v>194.89500000000001</v>
      </c>
      <c r="I24" s="51">
        <f>SUM(I6:I23)</f>
        <v>0</v>
      </c>
      <c r="J24" s="51">
        <f>SUM(J15:J23)</f>
        <v>0</v>
      </c>
      <c r="K24" s="51">
        <f>SUM(K6:K23)</f>
        <v>3674.2400000000002</v>
      </c>
      <c r="L24" s="51"/>
      <c r="M24" s="43"/>
      <c r="N24" s="43"/>
      <c r="O24" s="43"/>
    </row>
    <row r="25" spans="2:15" x14ac:dyDescent="0.25">
      <c r="E25" s="5"/>
      <c r="F25" s="290" t="s">
        <v>113</v>
      </c>
      <c r="G25" s="290"/>
      <c r="H25" s="290"/>
      <c r="I25" s="290"/>
      <c r="J25" s="290"/>
      <c r="K25" s="67">
        <f>K24+D24</f>
        <v>3674.2400000000002</v>
      </c>
      <c r="L25" s="5"/>
      <c r="M25" s="43">
        <v>3676.3449999999998</v>
      </c>
      <c r="N25" s="43"/>
      <c r="O25" s="43"/>
    </row>
    <row r="26" spans="2:15" x14ac:dyDescent="0.25">
      <c r="E26" s="5"/>
      <c r="F26" s="5"/>
      <c r="K26" s="5"/>
      <c r="L26" s="5"/>
      <c r="M26" s="43"/>
      <c r="N26" s="43"/>
      <c r="O26" s="43"/>
    </row>
    <row r="27" spans="2:15" x14ac:dyDescent="0.25">
      <c r="L27" s="5"/>
      <c r="M27" s="43"/>
      <c r="N27" s="43"/>
      <c r="O27" s="43"/>
    </row>
    <row r="28" spans="2:15" ht="15.75" thickBot="1" x14ac:dyDescent="0.3">
      <c r="L28" s="5"/>
      <c r="M28" s="43"/>
      <c r="N28" s="43"/>
      <c r="O28" s="43"/>
    </row>
    <row r="29" spans="2:15" x14ac:dyDescent="0.25">
      <c r="B29" s="283" t="s">
        <v>108</v>
      </c>
      <c r="C29" s="284"/>
      <c r="D29" s="285"/>
      <c r="E29" s="287" t="s">
        <v>60</v>
      </c>
      <c r="F29" s="287"/>
      <c r="G29" s="287"/>
      <c r="H29" s="287"/>
      <c r="I29" s="287"/>
      <c r="J29" s="287"/>
      <c r="K29" s="287"/>
      <c r="L29" s="287"/>
    </row>
    <row r="30" spans="2:15" x14ac:dyDescent="0.25">
      <c r="B30" s="116" t="s">
        <v>106</v>
      </c>
      <c r="C30" s="116" t="s">
        <v>107</v>
      </c>
      <c r="D30" s="116" t="s">
        <v>105</v>
      </c>
      <c r="E30" s="82" t="s">
        <v>73</v>
      </c>
      <c r="F30" s="82" t="s">
        <v>63</v>
      </c>
      <c r="G30" s="82" t="s">
        <v>69</v>
      </c>
      <c r="H30" s="82" t="s">
        <v>57</v>
      </c>
      <c r="I30" s="82" t="s">
        <v>58</v>
      </c>
      <c r="J30" s="82" t="s">
        <v>59</v>
      </c>
      <c r="K30" s="82" t="s">
        <v>99</v>
      </c>
      <c r="L30" s="82" t="s">
        <v>76</v>
      </c>
    </row>
    <row r="31" spans="2:15" x14ac:dyDescent="0.25">
      <c r="B31" s="1"/>
      <c r="C31" s="1"/>
      <c r="D31" s="1"/>
      <c r="E31" s="1" t="s">
        <v>62</v>
      </c>
      <c r="F31" s="83">
        <v>45817</v>
      </c>
      <c r="G31" s="3"/>
      <c r="H31" s="71">
        <v>754.625</v>
      </c>
      <c r="I31" s="3"/>
      <c r="J31" s="3"/>
      <c r="K31" s="3">
        <f>H31+I41-J41</f>
        <v>754.625</v>
      </c>
      <c r="L31" s="3"/>
    </row>
    <row r="32" spans="2:15" x14ac:dyDescent="0.25">
      <c r="B32" s="47">
        <v>45959</v>
      </c>
      <c r="C32" s="1" t="s">
        <v>116</v>
      </c>
      <c r="D32" s="1">
        <v>18.399999999999999</v>
      </c>
      <c r="E32" s="54"/>
      <c r="F32" s="83"/>
      <c r="G32" s="3"/>
      <c r="H32" s="3"/>
      <c r="I32" s="3"/>
      <c r="J32" s="3"/>
      <c r="K32" s="3"/>
      <c r="L32" s="3"/>
    </row>
    <row r="33" spans="2:12" x14ac:dyDescent="0.25">
      <c r="B33" s="1"/>
      <c r="C33" s="1" t="s">
        <v>116</v>
      </c>
      <c r="D33" s="1">
        <v>22.2</v>
      </c>
      <c r="E33" s="54"/>
      <c r="F33" s="83"/>
      <c r="G33" s="3"/>
      <c r="H33" s="3"/>
      <c r="I33" s="3"/>
      <c r="J33" s="3"/>
      <c r="K33" s="3"/>
      <c r="L33" s="3"/>
    </row>
    <row r="34" spans="2:12" x14ac:dyDescent="0.25">
      <c r="B34" s="1"/>
      <c r="C34" s="1"/>
      <c r="D34" s="1"/>
      <c r="E34" s="54"/>
      <c r="F34" s="54"/>
      <c r="G34" s="3"/>
      <c r="H34" s="3"/>
      <c r="I34" s="3"/>
      <c r="J34" s="3"/>
      <c r="K34" s="3"/>
      <c r="L34" s="3"/>
    </row>
    <row r="35" spans="2:12" x14ac:dyDescent="0.25">
      <c r="B35" s="1"/>
      <c r="C35" s="1"/>
      <c r="D35" s="1"/>
      <c r="E35" s="54"/>
      <c r="F35" s="54"/>
      <c r="G35" s="3"/>
      <c r="H35" s="3"/>
      <c r="I35" s="3"/>
      <c r="J35" s="3"/>
      <c r="K35" s="3"/>
      <c r="L35" s="3"/>
    </row>
    <row r="36" spans="2:12" x14ac:dyDescent="0.25">
      <c r="B36" s="1"/>
      <c r="C36" s="1"/>
      <c r="D36" s="1"/>
      <c r="E36" s="54"/>
      <c r="F36" s="54"/>
      <c r="G36" s="3"/>
      <c r="H36" s="3"/>
      <c r="I36" s="3"/>
      <c r="J36" s="3"/>
      <c r="K36" s="3"/>
      <c r="L36" s="3"/>
    </row>
    <row r="37" spans="2:12" x14ac:dyDescent="0.25">
      <c r="B37" s="1"/>
      <c r="C37" s="1"/>
      <c r="D37" s="1"/>
      <c r="E37" s="54"/>
      <c r="F37" s="54"/>
      <c r="G37" s="3"/>
      <c r="H37" s="3"/>
      <c r="I37" s="3"/>
      <c r="J37" s="3"/>
      <c r="K37" s="3"/>
      <c r="L37" s="3"/>
    </row>
    <row r="38" spans="2:12" x14ac:dyDescent="0.25">
      <c r="B38" s="1"/>
      <c r="C38" s="1"/>
      <c r="D38" s="1"/>
      <c r="E38" s="54"/>
      <c r="F38" s="54"/>
      <c r="G38" s="3"/>
      <c r="H38" s="3"/>
      <c r="I38" s="3"/>
      <c r="J38" s="3"/>
      <c r="K38" s="3"/>
      <c r="L38" s="3"/>
    </row>
    <row r="39" spans="2:12" x14ac:dyDescent="0.25">
      <c r="B39" s="1"/>
      <c r="C39" s="1"/>
      <c r="D39" s="1"/>
      <c r="E39" s="54"/>
      <c r="F39" s="54"/>
      <c r="G39" s="3"/>
      <c r="H39" s="3"/>
      <c r="I39" s="3"/>
      <c r="J39" s="3"/>
      <c r="K39" s="3"/>
      <c r="L39" s="3"/>
    </row>
    <row r="40" spans="2:12" x14ac:dyDescent="0.25">
      <c r="B40" s="1"/>
      <c r="C40" s="1"/>
      <c r="D40" s="1"/>
      <c r="E40" s="54"/>
      <c r="F40" s="54"/>
      <c r="G40" s="3"/>
      <c r="H40" s="3"/>
      <c r="I40" s="3"/>
      <c r="J40" s="3"/>
      <c r="K40" s="3"/>
      <c r="L40" s="3"/>
    </row>
    <row r="41" spans="2:12" x14ac:dyDescent="0.25">
      <c r="B41" s="288" t="s">
        <v>114</v>
      </c>
      <c r="C41" s="289"/>
      <c r="D41" s="116">
        <f>SUM(D31:D40)</f>
        <v>40.599999999999994</v>
      </c>
      <c r="E41" s="3"/>
      <c r="F41" s="51"/>
      <c r="G41" s="51" t="s">
        <v>98</v>
      </c>
      <c r="H41" s="51">
        <f>SUM(H31:H40)</f>
        <v>754.625</v>
      </c>
      <c r="I41" s="51">
        <f>SUM(I31:I40)</f>
        <v>0</v>
      </c>
      <c r="J41" s="51">
        <f>SUM(J31:J40)</f>
        <v>0</v>
      </c>
      <c r="K41" s="51">
        <f>SUM(K31:K40)</f>
        <v>754.625</v>
      </c>
      <c r="L41" s="51"/>
    </row>
    <row r="42" spans="2:12" x14ac:dyDescent="0.25">
      <c r="E42" s="5"/>
      <c r="F42" s="290" t="s">
        <v>113</v>
      </c>
      <c r="G42" s="290"/>
      <c r="H42" s="290"/>
      <c r="I42" s="290"/>
      <c r="J42" s="290"/>
      <c r="K42" s="67">
        <f>K41+D41</f>
        <v>795.22500000000002</v>
      </c>
      <c r="L42" s="5"/>
    </row>
    <row r="43" spans="2:12" ht="15.75" thickBot="1" x14ac:dyDescent="0.3"/>
    <row r="44" spans="2:12" x14ac:dyDescent="0.25">
      <c r="B44" s="283" t="s">
        <v>108</v>
      </c>
      <c r="C44" s="284"/>
      <c r="D44" s="285"/>
      <c r="E44" s="287" t="s">
        <v>45</v>
      </c>
      <c r="F44" s="287"/>
      <c r="G44" s="287"/>
      <c r="H44" s="287"/>
      <c r="I44" s="287"/>
      <c r="J44" s="287"/>
      <c r="K44" s="287"/>
      <c r="L44" s="287"/>
    </row>
    <row r="45" spans="2:12" x14ac:dyDescent="0.25">
      <c r="B45" s="116" t="s">
        <v>106</v>
      </c>
      <c r="C45" s="116" t="s">
        <v>107</v>
      </c>
      <c r="D45" s="116" t="s">
        <v>105</v>
      </c>
      <c r="E45" s="82" t="s">
        <v>100</v>
      </c>
      <c r="F45" s="82" t="s">
        <v>63</v>
      </c>
      <c r="G45" s="82" t="s">
        <v>69</v>
      </c>
      <c r="H45" s="82" t="s">
        <v>57</v>
      </c>
      <c r="I45" s="82" t="s">
        <v>58</v>
      </c>
      <c r="J45" s="82" t="s">
        <v>59</v>
      </c>
      <c r="K45" s="82" t="s">
        <v>112</v>
      </c>
      <c r="L45" s="82" t="s">
        <v>76</v>
      </c>
    </row>
    <row r="46" spans="2:12" x14ac:dyDescent="0.25">
      <c r="B46" s="1"/>
      <c r="C46" s="1" t="s">
        <v>115</v>
      </c>
      <c r="D46" s="1">
        <v>16.315000000000001</v>
      </c>
      <c r="E46" s="1">
        <v>1</v>
      </c>
      <c r="F46" s="83"/>
      <c r="G46" s="3"/>
      <c r="H46" s="70">
        <v>405.6</v>
      </c>
      <c r="I46" s="3"/>
      <c r="J46" s="3"/>
      <c r="K46" s="3">
        <f>H46+I56-J56</f>
        <v>459.20000000000005</v>
      </c>
      <c r="L46" s="3"/>
    </row>
    <row r="47" spans="2:12" x14ac:dyDescent="0.25">
      <c r="B47" s="1"/>
      <c r="C47" s="1" t="s">
        <v>115</v>
      </c>
      <c r="D47" s="1">
        <v>23.51</v>
      </c>
      <c r="E47" s="54"/>
      <c r="F47" s="47">
        <v>45817</v>
      </c>
      <c r="G47" s="1">
        <v>1</v>
      </c>
      <c r="H47" s="1"/>
      <c r="I47" s="1">
        <v>17.2</v>
      </c>
      <c r="J47" s="3"/>
      <c r="K47" s="3"/>
      <c r="L47" s="3"/>
    </row>
    <row r="48" spans="2:12" x14ac:dyDescent="0.25">
      <c r="B48" s="1"/>
      <c r="C48" s="1" t="s">
        <v>115</v>
      </c>
      <c r="D48" s="1">
        <v>25</v>
      </c>
      <c r="E48" s="54"/>
      <c r="F48" s="47">
        <v>45818</v>
      </c>
      <c r="G48" s="1">
        <v>1</v>
      </c>
      <c r="H48" s="1"/>
      <c r="I48" s="1">
        <v>18.8</v>
      </c>
      <c r="J48" s="3"/>
      <c r="K48" s="3"/>
      <c r="L48" s="3"/>
    </row>
    <row r="49" spans="2:12" x14ac:dyDescent="0.25">
      <c r="B49" s="1"/>
      <c r="C49" s="1" t="s">
        <v>115</v>
      </c>
      <c r="D49" s="1">
        <v>22.31</v>
      </c>
      <c r="E49" s="54"/>
      <c r="F49" s="47">
        <v>45819</v>
      </c>
      <c r="G49" s="1">
        <v>1</v>
      </c>
      <c r="H49" s="1"/>
      <c r="I49" s="1">
        <v>17.600000000000001</v>
      </c>
      <c r="J49" s="3"/>
      <c r="K49" s="3"/>
      <c r="L49" s="3"/>
    </row>
    <row r="50" spans="2:12" x14ac:dyDescent="0.25">
      <c r="B50" s="1"/>
      <c r="C50" s="1" t="s">
        <v>116</v>
      </c>
      <c r="D50" s="1">
        <v>13.92</v>
      </c>
      <c r="E50" s="54"/>
      <c r="F50" s="83"/>
      <c r="G50" s="3"/>
      <c r="H50" s="3"/>
      <c r="I50" s="3"/>
      <c r="J50" s="3"/>
      <c r="K50" s="3"/>
      <c r="L50" s="3"/>
    </row>
    <row r="51" spans="2:12" x14ac:dyDescent="0.25">
      <c r="B51" s="47">
        <v>45952</v>
      </c>
      <c r="C51" s="1" t="s">
        <v>116</v>
      </c>
      <c r="D51" s="1">
        <v>15.2</v>
      </c>
      <c r="E51" s="54"/>
      <c r="F51" s="83"/>
      <c r="G51" s="3"/>
      <c r="H51" s="3"/>
      <c r="I51" s="3"/>
      <c r="J51" s="3"/>
      <c r="K51" s="3"/>
      <c r="L51" s="3"/>
    </row>
    <row r="52" spans="2:12" x14ac:dyDescent="0.25">
      <c r="B52" s="47">
        <v>45959</v>
      </c>
      <c r="C52" s="1" t="s">
        <v>116</v>
      </c>
      <c r="D52" s="1">
        <v>12.2</v>
      </c>
      <c r="E52" s="54"/>
      <c r="F52" s="54"/>
      <c r="G52" s="3"/>
      <c r="H52" s="3"/>
      <c r="I52" s="3"/>
      <c r="J52" s="3"/>
      <c r="K52" s="3"/>
      <c r="L52" s="3"/>
    </row>
    <row r="53" spans="2:12" x14ac:dyDescent="0.25">
      <c r="B53" s="47">
        <v>45959</v>
      </c>
      <c r="C53" s="1" t="s">
        <v>116</v>
      </c>
      <c r="D53" s="1">
        <v>8.1999999999999993</v>
      </c>
      <c r="E53" s="54"/>
      <c r="F53" s="54"/>
      <c r="G53" s="3"/>
      <c r="H53" s="3"/>
      <c r="I53" s="3"/>
      <c r="J53" s="3"/>
      <c r="K53" s="3"/>
      <c r="L53" s="3"/>
    </row>
    <row r="54" spans="2:12" x14ac:dyDescent="0.25">
      <c r="B54" s="1"/>
      <c r="C54" s="1"/>
      <c r="D54" s="1"/>
      <c r="E54" s="54"/>
      <c r="F54" s="54"/>
      <c r="G54" s="3"/>
      <c r="H54" s="3"/>
      <c r="I54" s="3"/>
      <c r="J54" s="3"/>
      <c r="K54" s="3"/>
      <c r="L54" s="3"/>
    </row>
    <row r="55" spans="2:12" x14ac:dyDescent="0.25">
      <c r="B55" s="1"/>
      <c r="C55" s="1"/>
      <c r="D55" s="1"/>
      <c r="E55" s="54"/>
      <c r="F55" s="54"/>
      <c r="G55" s="3"/>
      <c r="H55" s="3"/>
      <c r="I55" s="3"/>
      <c r="J55" s="3"/>
      <c r="K55" s="3"/>
      <c r="L55" s="3"/>
    </row>
    <row r="56" spans="2:12" x14ac:dyDescent="0.25">
      <c r="B56" s="288" t="s">
        <v>114</v>
      </c>
      <c r="C56" s="289"/>
      <c r="D56" s="116">
        <f>SUM(D46:D55)</f>
        <v>136.655</v>
      </c>
      <c r="E56" s="3"/>
      <c r="F56" s="51"/>
      <c r="G56" s="51" t="s">
        <v>98</v>
      </c>
      <c r="H56" s="51">
        <f>SUM(H46:H55)</f>
        <v>405.6</v>
      </c>
      <c r="I56" s="51">
        <f>SUM(I46:I55)</f>
        <v>53.6</v>
      </c>
      <c r="J56" s="51">
        <f>SUM(J46:J55)</f>
        <v>0</v>
      </c>
      <c r="K56" s="51">
        <f>SUM(K46:K55)</f>
        <v>459.20000000000005</v>
      </c>
      <c r="L56" s="51"/>
    </row>
    <row r="57" spans="2:12" x14ac:dyDescent="0.25">
      <c r="E57" s="5"/>
      <c r="F57" s="290" t="s">
        <v>113</v>
      </c>
      <c r="G57" s="290"/>
      <c r="H57" s="290"/>
      <c r="I57" s="290"/>
      <c r="J57" s="290"/>
      <c r="K57" s="67">
        <f>K56+D56</f>
        <v>595.85500000000002</v>
      </c>
      <c r="L57" s="5"/>
    </row>
    <row r="60" spans="2:12" ht="15.75" thickBot="1" x14ac:dyDescent="0.3"/>
    <row r="61" spans="2:12" x14ac:dyDescent="0.25">
      <c r="B61" s="283" t="s">
        <v>108</v>
      </c>
      <c r="C61" s="284"/>
      <c r="D61" s="285"/>
      <c r="E61" s="287" t="s">
        <v>101</v>
      </c>
      <c r="F61" s="287"/>
      <c r="G61" s="287"/>
      <c r="H61" s="287"/>
      <c r="I61" s="287"/>
      <c r="J61" s="287"/>
      <c r="K61" s="287"/>
      <c r="L61" s="287"/>
    </row>
    <row r="62" spans="2:12" x14ac:dyDescent="0.25">
      <c r="B62" s="116" t="s">
        <v>106</v>
      </c>
      <c r="C62" s="116" t="s">
        <v>107</v>
      </c>
      <c r="D62" s="116" t="s">
        <v>105</v>
      </c>
      <c r="E62" s="82" t="s">
        <v>100</v>
      </c>
      <c r="F62" s="82" t="s">
        <v>63</v>
      </c>
      <c r="G62" s="82" t="s">
        <v>69</v>
      </c>
      <c r="H62" s="82" t="s">
        <v>57</v>
      </c>
      <c r="I62" s="82" t="s">
        <v>58</v>
      </c>
      <c r="J62" s="82" t="s">
        <v>59</v>
      </c>
      <c r="K62" s="82" t="s">
        <v>99</v>
      </c>
      <c r="L62" s="82" t="s">
        <v>76</v>
      </c>
    </row>
    <row r="63" spans="2:12" x14ac:dyDescent="0.25">
      <c r="B63" s="1"/>
      <c r="C63" s="1"/>
      <c r="D63" s="1"/>
      <c r="E63" s="1">
        <v>1</v>
      </c>
      <c r="F63" s="83"/>
      <c r="G63" s="3"/>
      <c r="H63" s="71">
        <v>632.79999999999995</v>
      </c>
      <c r="I63" s="3"/>
      <c r="J63" s="3"/>
      <c r="K63" s="3">
        <f>H63+I73-J73</f>
        <v>632.79999999999995</v>
      </c>
      <c r="L63" s="3"/>
    </row>
    <row r="64" spans="2:12" x14ac:dyDescent="0.25">
      <c r="B64" s="1"/>
      <c r="C64" s="1"/>
      <c r="D64" s="1"/>
      <c r="E64" s="54"/>
      <c r="F64" s="47"/>
      <c r="G64" s="1"/>
      <c r="H64" s="3"/>
      <c r="I64" s="3"/>
      <c r="J64" s="3"/>
      <c r="K64" s="3"/>
      <c r="L64" s="3"/>
    </row>
    <row r="65" spans="2:12" x14ac:dyDescent="0.25">
      <c r="B65" s="1"/>
      <c r="C65" s="1"/>
      <c r="D65" s="1"/>
      <c r="E65" s="54"/>
      <c r="F65" s="47"/>
      <c r="G65" s="1"/>
      <c r="H65" s="3"/>
      <c r="I65" s="3"/>
      <c r="J65" s="3"/>
      <c r="K65" s="3"/>
      <c r="L65" s="3"/>
    </row>
    <row r="66" spans="2:12" x14ac:dyDescent="0.25">
      <c r="B66" s="1"/>
      <c r="C66" s="1"/>
      <c r="D66" s="1"/>
      <c r="E66" s="54"/>
      <c r="F66" s="47"/>
      <c r="G66" s="1"/>
      <c r="H66" s="3"/>
      <c r="I66" s="3"/>
      <c r="J66" s="3"/>
      <c r="K66" s="3"/>
      <c r="L66" s="3"/>
    </row>
    <row r="67" spans="2:12" x14ac:dyDescent="0.25">
      <c r="B67" s="1"/>
      <c r="C67" s="1"/>
      <c r="D67" s="1"/>
      <c r="E67" s="54"/>
      <c r="F67" s="54"/>
      <c r="G67" s="3"/>
      <c r="H67" s="3"/>
      <c r="I67" s="3"/>
      <c r="J67" s="3"/>
      <c r="K67" s="3"/>
      <c r="L67" s="3"/>
    </row>
    <row r="68" spans="2:12" x14ac:dyDescent="0.25">
      <c r="B68" s="1"/>
      <c r="C68" s="1"/>
      <c r="D68" s="1"/>
      <c r="E68" s="54"/>
      <c r="F68" s="54"/>
      <c r="G68" s="3"/>
      <c r="H68" s="3"/>
      <c r="I68" s="3"/>
      <c r="J68" s="3"/>
      <c r="K68" s="3"/>
      <c r="L68" s="3"/>
    </row>
    <row r="69" spans="2:12" x14ac:dyDescent="0.25">
      <c r="B69" s="1"/>
      <c r="C69" s="1"/>
      <c r="D69" s="1"/>
      <c r="E69" s="54"/>
      <c r="F69" s="54"/>
      <c r="G69" s="3"/>
      <c r="H69" s="3"/>
      <c r="I69" s="3"/>
      <c r="J69" s="3"/>
      <c r="K69" s="3"/>
      <c r="L69" s="3"/>
    </row>
    <row r="70" spans="2:12" x14ac:dyDescent="0.25">
      <c r="B70" s="1"/>
      <c r="C70" s="1"/>
      <c r="D70" s="1"/>
      <c r="E70" s="54"/>
      <c r="F70" s="54"/>
      <c r="G70" s="3"/>
      <c r="H70" s="3"/>
      <c r="I70" s="3"/>
      <c r="J70" s="3"/>
      <c r="K70" s="3"/>
      <c r="L70" s="3"/>
    </row>
    <row r="71" spans="2:12" x14ac:dyDescent="0.25">
      <c r="B71" s="1"/>
      <c r="C71" s="1"/>
      <c r="D71" s="1"/>
      <c r="E71" s="54"/>
      <c r="F71" s="54"/>
      <c r="G71" s="3"/>
      <c r="H71" s="3"/>
      <c r="I71" s="3"/>
      <c r="J71" s="3"/>
      <c r="K71" s="3"/>
      <c r="L71" s="3"/>
    </row>
    <row r="72" spans="2:12" x14ac:dyDescent="0.25">
      <c r="B72" s="1"/>
      <c r="C72" s="1"/>
      <c r="D72" s="1"/>
      <c r="E72" s="54"/>
      <c r="F72" s="54"/>
      <c r="G72" s="3"/>
      <c r="H72" s="3"/>
      <c r="I72" s="3"/>
      <c r="J72" s="3"/>
      <c r="K72" s="3"/>
      <c r="L72" s="3"/>
    </row>
    <row r="73" spans="2:12" x14ac:dyDescent="0.25">
      <c r="B73" s="288" t="s">
        <v>114</v>
      </c>
      <c r="C73" s="289"/>
      <c r="D73" s="116">
        <f>SUM(D63:D72)</f>
        <v>0</v>
      </c>
      <c r="E73" s="3"/>
      <c r="F73" s="51"/>
      <c r="G73" s="51" t="s">
        <v>98</v>
      </c>
      <c r="H73" s="51">
        <f>SUM(H63:H72)</f>
        <v>632.79999999999995</v>
      </c>
      <c r="I73" s="51">
        <f>SUM(I63:I72)</f>
        <v>0</v>
      </c>
      <c r="J73" s="51">
        <f>SUM(J63:J72)</f>
        <v>0</v>
      </c>
      <c r="K73" s="51">
        <f>SUM(K63:K72)</f>
        <v>632.79999999999995</v>
      </c>
      <c r="L73" s="51"/>
    </row>
    <row r="74" spans="2:12" x14ac:dyDescent="0.25">
      <c r="E74" s="5"/>
      <c r="F74" s="290" t="s">
        <v>113</v>
      </c>
      <c r="G74" s="290"/>
      <c r="H74" s="290"/>
      <c r="I74" s="290"/>
      <c r="J74" s="290"/>
      <c r="K74" s="67">
        <f>K73+D73</f>
        <v>632.79999999999995</v>
      </c>
      <c r="L74" s="5"/>
    </row>
    <row r="76" spans="2:12" ht="15.75" thickBot="1" x14ac:dyDescent="0.3">
      <c r="G76" t="s">
        <v>80</v>
      </c>
    </row>
    <row r="77" spans="2:12" x14ac:dyDescent="0.25">
      <c r="B77" s="283" t="s">
        <v>108</v>
      </c>
      <c r="C77" s="284"/>
      <c r="D77" s="285"/>
      <c r="E77" s="287" t="s">
        <v>102</v>
      </c>
      <c r="F77" s="287"/>
      <c r="G77" s="287"/>
      <c r="H77" s="287"/>
      <c r="I77" s="287"/>
      <c r="J77" s="287"/>
      <c r="K77" s="287"/>
      <c r="L77" s="287"/>
    </row>
    <row r="78" spans="2:12" x14ac:dyDescent="0.25">
      <c r="B78" s="116" t="s">
        <v>106</v>
      </c>
      <c r="C78" s="116" t="s">
        <v>107</v>
      </c>
      <c r="D78" s="116" t="s">
        <v>105</v>
      </c>
      <c r="E78" s="82" t="s">
        <v>100</v>
      </c>
      <c r="F78" s="82" t="s">
        <v>63</v>
      </c>
      <c r="G78" s="82" t="s">
        <v>69</v>
      </c>
      <c r="H78" s="82" t="s">
        <v>57</v>
      </c>
      <c r="I78" s="82" t="s">
        <v>58</v>
      </c>
      <c r="J78" s="82" t="s">
        <v>59</v>
      </c>
      <c r="K78" s="82" t="s">
        <v>99</v>
      </c>
      <c r="L78" s="82" t="s">
        <v>76</v>
      </c>
    </row>
    <row r="79" spans="2:12" x14ac:dyDescent="0.25">
      <c r="B79" s="1"/>
      <c r="C79" s="1"/>
      <c r="D79" s="1"/>
      <c r="E79" s="1">
        <v>1</v>
      </c>
      <c r="F79" s="83"/>
      <c r="G79" s="3"/>
      <c r="H79" s="71">
        <v>510.4</v>
      </c>
      <c r="I79" s="3"/>
      <c r="J79" s="3"/>
      <c r="K79" s="3">
        <f>H79+I89-J89</f>
        <v>510.4</v>
      </c>
      <c r="L79" s="3"/>
    </row>
    <row r="80" spans="2:12" x14ac:dyDescent="0.25">
      <c r="B80" s="1"/>
      <c r="C80" s="1"/>
      <c r="D80" s="1"/>
      <c r="E80" s="54"/>
      <c r="F80" s="47"/>
      <c r="G80" s="1"/>
      <c r="H80" s="3"/>
      <c r="I80" s="3"/>
      <c r="J80" s="3"/>
      <c r="K80" s="3"/>
      <c r="L80" s="3"/>
    </row>
    <row r="81" spans="2:12" x14ac:dyDescent="0.25">
      <c r="B81" s="1"/>
      <c r="C81" s="1"/>
      <c r="D81" s="1"/>
      <c r="E81" s="54"/>
      <c r="F81" s="47"/>
      <c r="G81" s="1"/>
      <c r="H81" s="3"/>
      <c r="I81" s="3"/>
      <c r="J81" s="3"/>
      <c r="K81" s="3"/>
      <c r="L81" s="3"/>
    </row>
    <row r="82" spans="2:12" x14ac:dyDescent="0.25">
      <c r="B82" s="1"/>
      <c r="C82" s="1"/>
      <c r="D82" s="1"/>
      <c r="E82" s="54"/>
      <c r="F82" s="47"/>
      <c r="G82" s="1"/>
      <c r="H82" s="3"/>
      <c r="I82" s="3"/>
      <c r="J82" s="3"/>
      <c r="K82" s="3"/>
      <c r="L82" s="3"/>
    </row>
    <row r="83" spans="2:12" x14ac:dyDescent="0.25">
      <c r="B83" s="1"/>
      <c r="C83" s="1"/>
      <c r="D83" s="1"/>
      <c r="E83" s="54"/>
      <c r="F83" s="54"/>
      <c r="G83" s="3"/>
      <c r="H83" s="3"/>
      <c r="I83" s="3"/>
      <c r="J83" s="3"/>
      <c r="K83" s="3"/>
      <c r="L83" s="3"/>
    </row>
    <row r="84" spans="2:12" x14ac:dyDescent="0.25">
      <c r="B84" s="1"/>
      <c r="C84" s="1"/>
      <c r="D84" s="1"/>
      <c r="E84" s="54"/>
      <c r="F84" s="54"/>
      <c r="G84" s="3"/>
      <c r="H84" s="3"/>
      <c r="I84" s="3"/>
      <c r="J84" s="3"/>
      <c r="K84" s="3"/>
      <c r="L84" s="3"/>
    </row>
    <row r="85" spans="2:12" x14ac:dyDescent="0.25">
      <c r="B85" s="1"/>
      <c r="C85" s="1"/>
      <c r="D85" s="1"/>
      <c r="E85" s="54"/>
      <c r="F85" s="54"/>
      <c r="G85" s="3"/>
      <c r="H85" s="3"/>
      <c r="I85" s="3"/>
      <c r="J85" s="3"/>
      <c r="K85" s="3"/>
      <c r="L85" s="3"/>
    </row>
    <row r="86" spans="2:12" x14ac:dyDescent="0.25">
      <c r="B86" s="1"/>
      <c r="C86" s="1"/>
      <c r="D86" s="1"/>
      <c r="E86" s="54"/>
      <c r="F86" s="54"/>
      <c r="G86" s="3"/>
      <c r="H86" s="3"/>
      <c r="I86" s="3"/>
      <c r="J86" s="3"/>
      <c r="K86" s="3"/>
      <c r="L86" s="3"/>
    </row>
    <row r="87" spans="2:12" x14ac:dyDescent="0.25">
      <c r="B87" s="1"/>
      <c r="C87" s="1"/>
      <c r="D87" s="1"/>
      <c r="E87" s="54"/>
      <c r="F87" s="54"/>
      <c r="G87" s="3"/>
      <c r="H87" s="3"/>
      <c r="I87" s="3"/>
      <c r="J87" s="3"/>
      <c r="K87" s="3"/>
      <c r="L87" s="3"/>
    </row>
    <row r="88" spans="2:12" x14ac:dyDescent="0.25">
      <c r="B88" s="1"/>
      <c r="C88" s="1"/>
      <c r="D88" s="1"/>
      <c r="E88" s="54"/>
      <c r="F88" s="54"/>
      <c r="G88" s="3"/>
      <c r="H88" s="3"/>
      <c r="I88" s="3"/>
      <c r="J88" s="3"/>
      <c r="K88" s="3"/>
      <c r="L88" s="3"/>
    </row>
    <row r="89" spans="2:12" x14ac:dyDescent="0.25">
      <c r="B89" s="288" t="s">
        <v>114</v>
      </c>
      <c r="C89" s="289"/>
      <c r="D89" s="116">
        <f>SUM(D79:D88)</f>
        <v>0</v>
      </c>
      <c r="E89" s="3"/>
      <c r="F89" s="51"/>
      <c r="G89" s="51" t="s">
        <v>98</v>
      </c>
      <c r="H89" s="51">
        <f>SUM(H79:H88)</f>
        <v>510.4</v>
      </c>
      <c r="I89" s="51">
        <f>SUM(I79:I88)</f>
        <v>0</v>
      </c>
      <c r="J89" s="51">
        <f>SUM(J79:J88)</f>
        <v>0</v>
      </c>
      <c r="K89" s="51">
        <f>SUM(K79:K88)</f>
        <v>510.4</v>
      </c>
      <c r="L89" s="51"/>
    </row>
    <row r="90" spans="2:12" x14ac:dyDescent="0.25">
      <c r="E90" s="5"/>
      <c r="F90" s="290" t="s">
        <v>113</v>
      </c>
      <c r="G90" s="290"/>
      <c r="H90" s="290"/>
      <c r="I90" s="290"/>
      <c r="J90" s="290"/>
      <c r="K90" s="67">
        <f>K89+D89</f>
        <v>510.4</v>
      </c>
      <c r="L90" s="5"/>
    </row>
    <row r="92" spans="2:12" ht="15.75" thickBot="1" x14ac:dyDescent="0.3"/>
    <row r="93" spans="2:12" x14ac:dyDescent="0.25">
      <c r="B93" s="283" t="s">
        <v>108</v>
      </c>
      <c r="C93" s="284"/>
      <c r="D93" s="285"/>
      <c r="E93" s="287" t="s">
        <v>54</v>
      </c>
      <c r="F93" s="287"/>
      <c r="G93" s="287"/>
      <c r="H93" s="287"/>
      <c r="I93" s="287"/>
      <c r="J93" s="287"/>
      <c r="K93" s="287"/>
      <c r="L93" s="287"/>
    </row>
    <row r="94" spans="2:12" x14ac:dyDescent="0.25">
      <c r="B94" s="116" t="s">
        <v>106</v>
      </c>
      <c r="C94" s="116" t="s">
        <v>107</v>
      </c>
      <c r="D94" s="116" t="s">
        <v>105</v>
      </c>
      <c r="E94" s="82" t="s">
        <v>100</v>
      </c>
      <c r="F94" s="82" t="s">
        <v>63</v>
      </c>
      <c r="G94" s="82" t="s">
        <v>69</v>
      </c>
      <c r="H94" s="82" t="s">
        <v>57</v>
      </c>
      <c r="I94" s="82" t="s">
        <v>104</v>
      </c>
      <c r="J94" s="82" t="s">
        <v>59</v>
      </c>
      <c r="K94" s="82" t="s">
        <v>99</v>
      </c>
      <c r="L94" s="82" t="s">
        <v>76</v>
      </c>
    </row>
    <row r="95" spans="2:12" x14ac:dyDescent="0.25">
      <c r="B95" s="1"/>
      <c r="C95" s="1"/>
      <c r="D95" s="1"/>
      <c r="E95" s="1">
        <v>1</v>
      </c>
      <c r="F95" s="83"/>
      <c r="G95" s="3"/>
      <c r="H95" s="71">
        <v>229.685</v>
      </c>
      <c r="I95" s="3"/>
      <c r="J95" s="3"/>
      <c r="K95" s="3">
        <f>H95+I105-J105</f>
        <v>229.685</v>
      </c>
      <c r="L95" s="3"/>
    </row>
    <row r="96" spans="2:12" x14ac:dyDescent="0.25">
      <c r="B96" s="1"/>
      <c r="C96" s="1"/>
      <c r="D96" s="1"/>
      <c r="E96" s="54"/>
      <c r="F96" s="47"/>
      <c r="G96" s="1"/>
      <c r="H96" s="3"/>
      <c r="I96" s="3"/>
      <c r="J96" s="3"/>
      <c r="K96" s="3"/>
      <c r="L96" s="3"/>
    </row>
    <row r="97" spans="2:12" x14ac:dyDescent="0.25">
      <c r="B97" s="1"/>
      <c r="C97" s="1"/>
      <c r="D97" s="1"/>
      <c r="E97" s="54"/>
      <c r="F97" s="47"/>
      <c r="G97" s="1"/>
      <c r="H97" s="3"/>
      <c r="I97" s="3"/>
      <c r="J97" s="3"/>
      <c r="K97" s="3"/>
      <c r="L97" s="3"/>
    </row>
    <row r="98" spans="2:12" x14ac:dyDescent="0.25">
      <c r="B98" s="1"/>
      <c r="C98" s="1"/>
      <c r="D98" s="1"/>
      <c r="E98" s="54"/>
      <c r="F98" s="47"/>
      <c r="G98" s="1"/>
      <c r="H98" s="3"/>
      <c r="I98" s="3"/>
      <c r="J98" s="3"/>
      <c r="K98" s="3"/>
      <c r="L98" s="3"/>
    </row>
    <row r="99" spans="2:12" x14ac:dyDescent="0.25">
      <c r="B99" s="1"/>
      <c r="C99" s="1"/>
      <c r="D99" s="1"/>
      <c r="E99" s="54"/>
      <c r="F99" s="54"/>
      <c r="G99" s="1"/>
      <c r="H99" s="3"/>
      <c r="I99" s="3"/>
      <c r="J99" s="3"/>
      <c r="K99" s="3"/>
      <c r="L99" s="3"/>
    </row>
    <row r="100" spans="2:12" x14ac:dyDescent="0.25">
      <c r="B100" s="1"/>
      <c r="C100" s="1"/>
      <c r="D100" s="1"/>
      <c r="E100" s="54"/>
      <c r="F100" s="54"/>
      <c r="G100" s="1"/>
      <c r="H100" s="3"/>
      <c r="I100" s="3"/>
      <c r="J100" s="3"/>
      <c r="K100" s="3"/>
      <c r="L100" s="3"/>
    </row>
    <row r="101" spans="2:12" x14ac:dyDescent="0.25">
      <c r="B101" s="1"/>
      <c r="C101" s="1"/>
      <c r="D101" s="1"/>
      <c r="E101" s="54"/>
      <c r="F101" s="54"/>
      <c r="G101" s="1"/>
      <c r="H101" s="3"/>
      <c r="I101" s="3"/>
      <c r="J101" s="3"/>
      <c r="K101" s="3"/>
      <c r="L101" s="3"/>
    </row>
    <row r="102" spans="2:12" x14ac:dyDescent="0.25">
      <c r="B102" s="1"/>
      <c r="C102" s="1"/>
      <c r="D102" s="1"/>
      <c r="E102" s="54"/>
      <c r="F102" s="54"/>
      <c r="G102" s="3"/>
      <c r="H102" s="3"/>
      <c r="I102" s="3"/>
      <c r="J102" s="3"/>
      <c r="K102" s="3"/>
      <c r="L102" s="3"/>
    </row>
    <row r="103" spans="2:12" x14ac:dyDescent="0.25">
      <c r="B103" s="1"/>
      <c r="C103" s="1"/>
      <c r="D103" s="1"/>
      <c r="E103" s="54"/>
      <c r="F103" s="54"/>
      <c r="G103" s="3"/>
      <c r="H103" s="3"/>
      <c r="I103" s="3"/>
      <c r="J103" s="3"/>
      <c r="K103" s="3"/>
      <c r="L103" s="3"/>
    </row>
    <row r="104" spans="2:12" x14ac:dyDescent="0.25">
      <c r="B104" s="1"/>
      <c r="C104" s="1"/>
      <c r="D104" s="1"/>
      <c r="E104" s="54"/>
      <c r="F104" s="54"/>
      <c r="G104" s="3"/>
      <c r="H104" s="3"/>
      <c r="I104" s="3"/>
      <c r="J104" s="3"/>
      <c r="K104" s="3"/>
      <c r="L104" s="3"/>
    </row>
    <row r="105" spans="2:12" x14ac:dyDescent="0.25">
      <c r="B105" s="288" t="s">
        <v>114</v>
      </c>
      <c r="C105" s="289"/>
      <c r="D105" s="116">
        <f>SUM(D95:D104)</f>
        <v>0</v>
      </c>
      <c r="E105" s="3"/>
      <c r="F105" s="51"/>
      <c r="G105" s="51" t="s">
        <v>98</v>
      </c>
      <c r="H105" s="51">
        <f>SUM(H95:H104)</f>
        <v>229.685</v>
      </c>
      <c r="I105" s="51">
        <f>SUM(I95:I104)</f>
        <v>0</v>
      </c>
      <c r="J105" s="51">
        <f>SUM(J95:J104)</f>
        <v>0</v>
      </c>
      <c r="K105" s="51">
        <f>SUM(K95:K104)</f>
        <v>229.685</v>
      </c>
      <c r="L105" s="51"/>
    </row>
    <row r="106" spans="2:12" x14ac:dyDescent="0.25">
      <c r="E106" s="5"/>
      <c r="F106" s="290" t="s">
        <v>113</v>
      </c>
      <c r="G106" s="290"/>
      <c r="H106" s="290"/>
      <c r="I106" s="290"/>
      <c r="J106" s="290"/>
      <c r="K106" s="67">
        <f>K105+D105</f>
        <v>229.685</v>
      </c>
      <c r="L106" s="5"/>
    </row>
    <row r="107" spans="2:12" ht="15.75" thickBot="1" x14ac:dyDescent="0.3"/>
    <row r="108" spans="2:12" x14ac:dyDescent="0.25">
      <c r="B108" s="283" t="s">
        <v>108</v>
      </c>
      <c r="C108" s="284"/>
      <c r="D108" s="285"/>
      <c r="E108" s="287" t="s">
        <v>77</v>
      </c>
      <c r="F108" s="287"/>
      <c r="G108" s="287"/>
      <c r="H108" s="287"/>
      <c r="I108" s="287"/>
      <c r="J108" s="287"/>
      <c r="K108" s="287"/>
      <c r="L108" s="287"/>
    </row>
    <row r="109" spans="2:12" x14ac:dyDescent="0.25">
      <c r="B109" s="116" t="s">
        <v>106</v>
      </c>
      <c r="C109" s="116" t="s">
        <v>107</v>
      </c>
      <c r="D109" s="116" t="s">
        <v>105</v>
      </c>
      <c r="E109" s="82" t="s">
        <v>100</v>
      </c>
      <c r="F109" s="82" t="s">
        <v>63</v>
      </c>
      <c r="G109" s="82" t="s">
        <v>69</v>
      </c>
      <c r="H109" s="82" t="s">
        <v>57</v>
      </c>
      <c r="I109" s="82" t="s">
        <v>58</v>
      </c>
      <c r="J109" s="82" t="s">
        <v>59</v>
      </c>
      <c r="K109" s="82" t="s">
        <v>99</v>
      </c>
      <c r="L109" s="82" t="s">
        <v>76</v>
      </c>
    </row>
    <row r="110" spans="2:12" x14ac:dyDescent="0.25">
      <c r="B110" s="1"/>
      <c r="C110" s="1" t="s">
        <v>116</v>
      </c>
      <c r="D110" s="1">
        <v>16.8</v>
      </c>
      <c r="E110" s="1">
        <v>1</v>
      </c>
      <c r="F110" s="83"/>
      <c r="G110" s="52"/>
      <c r="H110" s="103">
        <v>512.4</v>
      </c>
      <c r="I110" s="52"/>
      <c r="J110" s="52"/>
      <c r="K110" s="52">
        <f>H110+I120-J120</f>
        <v>512.4</v>
      </c>
      <c r="L110" s="52"/>
    </row>
    <row r="111" spans="2:12" x14ac:dyDescent="0.25">
      <c r="B111" s="1"/>
      <c r="C111" s="1" t="s">
        <v>116</v>
      </c>
      <c r="D111" s="1">
        <v>4.4000000000000004</v>
      </c>
      <c r="E111" s="54"/>
      <c r="F111" s="47"/>
      <c r="G111" s="34"/>
      <c r="H111" s="52"/>
      <c r="I111" s="52"/>
      <c r="J111" s="52"/>
      <c r="K111" s="52"/>
      <c r="L111" s="52"/>
    </row>
    <row r="112" spans="2:12" x14ac:dyDescent="0.25">
      <c r="B112" s="1"/>
      <c r="C112" s="1" t="s">
        <v>116</v>
      </c>
      <c r="D112" s="1">
        <v>8.4</v>
      </c>
      <c r="E112" s="54"/>
      <c r="F112" s="47"/>
      <c r="G112" s="34"/>
      <c r="H112" s="52"/>
      <c r="I112" s="52"/>
      <c r="J112" s="52"/>
      <c r="K112" s="52"/>
      <c r="L112" s="52"/>
    </row>
    <row r="113" spans="2:12" x14ac:dyDescent="0.25">
      <c r="B113" s="1"/>
      <c r="C113" s="1" t="s">
        <v>116</v>
      </c>
      <c r="D113" s="1">
        <v>5.6</v>
      </c>
      <c r="E113" s="54"/>
      <c r="F113" s="47"/>
      <c r="G113" s="34"/>
      <c r="H113" s="52"/>
      <c r="I113" s="52"/>
      <c r="J113" s="52"/>
      <c r="K113" s="52"/>
      <c r="L113" s="52"/>
    </row>
    <row r="114" spans="2:12" x14ac:dyDescent="0.25">
      <c r="B114" s="1"/>
      <c r="C114" s="1" t="s">
        <v>116</v>
      </c>
      <c r="D114" s="1">
        <v>14.6</v>
      </c>
      <c r="E114" s="54"/>
      <c r="F114" s="54"/>
      <c r="G114" s="34"/>
      <c r="H114" s="52"/>
      <c r="I114" s="52"/>
      <c r="J114" s="52"/>
      <c r="K114" s="52"/>
      <c r="L114" s="52"/>
    </row>
    <row r="115" spans="2:12" x14ac:dyDescent="0.25">
      <c r="B115" s="1"/>
      <c r="C115" s="1" t="s">
        <v>116</v>
      </c>
      <c r="D115" s="1">
        <v>16</v>
      </c>
      <c r="E115" s="54"/>
      <c r="F115" s="54"/>
      <c r="G115" s="34"/>
      <c r="H115" s="52"/>
      <c r="I115" s="52"/>
      <c r="J115" s="52"/>
      <c r="K115" s="52"/>
      <c r="L115" s="52"/>
    </row>
    <row r="116" spans="2:12" x14ac:dyDescent="0.25">
      <c r="B116" s="1"/>
      <c r="C116" s="1" t="s">
        <v>116</v>
      </c>
      <c r="D116" s="1">
        <v>1.845</v>
      </c>
      <c r="E116" s="54"/>
      <c r="F116" s="54"/>
      <c r="G116" s="34"/>
      <c r="H116" s="52"/>
      <c r="I116" s="52"/>
      <c r="J116" s="52"/>
      <c r="K116" s="52"/>
      <c r="L116" s="52"/>
    </row>
    <row r="117" spans="2:12" x14ac:dyDescent="0.25">
      <c r="B117" s="1"/>
      <c r="C117" s="1" t="s">
        <v>116</v>
      </c>
      <c r="D117" s="1">
        <v>15</v>
      </c>
      <c r="E117" s="54"/>
      <c r="F117" s="54"/>
      <c r="G117" s="52"/>
      <c r="H117" s="52"/>
      <c r="I117" s="52"/>
      <c r="J117" s="52"/>
      <c r="K117" s="52"/>
      <c r="L117" s="52"/>
    </row>
    <row r="118" spans="2:12" x14ac:dyDescent="0.25">
      <c r="B118" s="1"/>
      <c r="C118" s="1" t="s">
        <v>116</v>
      </c>
      <c r="D118" s="1">
        <v>14.8</v>
      </c>
      <c r="E118" s="54"/>
      <c r="F118" s="54"/>
      <c r="G118" s="52"/>
      <c r="H118" s="52"/>
      <c r="I118" s="52"/>
      <c r="J118" s="52"/>
      <c r="K118" s="52"/>
      <c r="L118" s="52"/>
    </row>
    <row r="119" spans="2:12" x14ac:dyDescent="0.25">
      <c r="B119" s="1"/>
      <c r="C119" s="1" t="s">
        <v>118</v>
      </c>
      <c r="D119" s="1">
        <v>15.7</v>
      </c>
      <c r="E119" s="54"/>
      <c r="F119" s="54"/>
      <c r="G119" s="52"/>
      <c r="H119" s="52"/>
      <c r="I119" s="52"/>
      <c r="J119" s="52"/>
      <c r="K119" s="52"/>
      <c r="L119" s="52"/>
    </row>
    <row r="120" spans="2:12" x14ac:dyDescent="0.25">
      <c r="B120" s="288" t="s">
        <v>114</v>
      </c>
      <c r="C120" s="289"/>
      <c r="D120" s="116">
        <f>SUM(D110:D119)</f>
        <v>113.14500000000001</v>
      </c>
      <c r="E120" s="3"/>
      <c r="F120" s="51"/>
      <c r="G120" s="51" t="s">
        <v>98</v>
      </c>
      <c r="H120" s="102">
        <f>SUM(H110:H119)</f>
        <v>512.4</v>
      </c>
      <c r="I120" s="102">
        <f>SUM(I111:I119)</f>
        <v>0</v>
      </c>
      <c r="J120" s="102">
        <f>SUM(J110:J119)</f>
        <v>0</v>
      </c>
      <c r="K120" s="102">
        <f>SUM(K110:K119)</f>
        <v>512.4</v>
      </c>
      <c r="L120" s="102"/>
    </row>
    <row r="121" spans="2:12" x14ac:dyDescent="0.25">
      <c r="E121" s="5"/>
      <c r="F121" s="290" t="s">
        <v>113</v>
      </c>
      <c r="G121" s="290"/>
      <c r="H121" s="290"/>
      <c r="I121" s="290"/>
      <c r="J121" s="290"/>
      <c r="K121" s="104">
        <f>K120+D120</f>
        <v>625.54499999999996</v>
      </c>
      <c r="L121" s="63"/>
    </row>
    <row r="123" spans="2:12" ht="15.75" thickBot="1" x14ac:dyDescent="0.3"/>
    <row r="124" spans="2:12" x14ac:dyDescent="0.25">
      <c r="B124" s="283" t="s">
        <v>108</v>
      </c>
      <c r="C124" s="284"/>
      <c r="D124" s="285"/>
      <c r="E124" s="287" t="s">
        <v>50</v>
      </c>
      <c r="F124" s="287"/>
      <c r="G124" s="287"/>
      <c r="H124" s="287"/>
      <c r="I124" s="287"/>
      <c r="J124" s="287"/>
      <c r="K124" s="287"/>
      <c r="L124" s="287"/>
    </row>
    <row r="125" spans="2:12" x14ac:dyDescent="0.25">
      <c r="B125" s="116" t="s">
        <v>106</v>
      </c>
      <c r="C125" s="116" t="s">
        <v>107</v>
      </c>
      <c r="D125" s="116" t="s">
        <v>105</v>
      </c>
      <c r="E125" s="82" t="s">
        <v>100</v>
      </c>
      <c r="F125" s="82" t="s">
        <v>63</v>
      </c>
      <c r="G125" s="82" t="s">
        <v>69</v>
      </c>
      <c r="H125" s="82" t="s">
        <v>57</v>
      </c>
      <c r="I125" s="82" t="s">
        <v>58</v>
      </c>
      <c r="J125" s="82" t="s">
        <v>59</v>
      </c>
      <c r="K125" s="82" t="s">
        <v>99</v>
      </c>
      <c r="L125" s="82" t="s">
        <v>76</v>
      </c>
    </row>
    <row r="126" spans="2:12" x14ac:dyDescent="0.25">
      <c r="B126" s="1"/>
      <c r="C126" s="1"/>
      <c r="D126" s="1"/>
      <c r="E126" s="1">
        <v>1</v>
      </c>
      <c r="F126" s="83"/>
      <c r="G126" s="3"/>
      <c r="H126" s="71">
        <v>376</v>
      </c>
      <c r="I126" s="3"/>
      <c r="J126" s="3"/>
      <c r="K126" s="3">
        <f>H126+I136-J136</f>
        <v>376</v>
      </c>
      <c r="L126" s="3"/>
    </row>
    <row r="127" spans="2:12" x14ac:dyDescent="0.25">
      <c r="B127" s="47">
        <v>45946</v>
      </c>
      <c r="C127" s="1" t="s">
        <v>116</v>
      </c>
      <c r="D127" s="1">
        <v>14.8</v>
      </c>
      <c r="E127" s="54"/>
      <c r="F127" s="47"/>
      <c r="G127" s="1"/>
      <c r="H127" s="3"/>
      <c r="I127" s="3"/>
      <c r="J127" s="3"/>
      <c r="K127" s="3"/>
      <c r="L127" s="3"/>
    </row>
    <row r="128" spans="2:12" x14ac:dyDescent="0.25">
      <c r="B128" s="47">
        <v>45954</v>
      </c>
      <c r="C128" s="1" t="s">
        <v>116</v>
      </c>
      <c r="D128" s="1">
        <v>11.4</v>
      </c>
      <c r="E128" s="54"/>
      <c r="F128" s="47"/>
      <c r="G128" s="1"/>
      <c r="H128" s="3"/>
      <c r="I128" s="3"/>
      <c r="J128" s="3"/>
      <c r="K128" s="3"/>
      <c r="L128" s="3"/>
    </row>
    <row r="129" spans="2:12" x14ac:dyDescent="0.25">
      <c r="B129" s="47">
        <v>45954</v>
      </c>
      <c r="C129" s="1" t="s">
        <v>116</v>
      </c>
      <c r="D129" s="1">
        <v>10.6</v>
      </c>
      <c r="E129" s="54"/>
      <c r="F129" s="47"/>
      <c r="G129" s="1"/>
      <c r="H129" s="3"/>
      <c r="I129" s="3"/>
      <c r="J129" s="3"/>
      <c r="K129" s="3"/>
      <c r="L129" s="3"/>
    </row>
    <row r="130" spans="2:12" x14ac:dyDescent="0.25">
      <c r="B130" s="1"/>
      <c r="C130" s="1"/>
      <c r="D130" s="1"/>
      <c r="E130" s="54"/>
      <c r="F130" s="54"/>
      <c r="G130" s="3"/>
      <c r="H130" s="3"/>
      <c r="I130" s="3"/>
      <c r="J130" s="3"/>
      <c r="K130" s="3"/>
      <c r="L130" s="3"/>
    </row>
    <row r="131" spans="2:12" x14ac:dyDescent="0.25">
      <c r="B131" s="1"/>
      <c r="C131" s="1"/>
      <c r="D131" s="1"/>
      <c r="E131" s="54"/>
      <c r="F131" s="54"/>
      <c r="G131" s="3"/>
      <c r="H131" s="3"/>
      <c r="I131" s="3"/>
      <c r="J131" s="3"/>
      <c r="K131" s="3"/>
      <c r="L131" s="3"/>
    </row>
    <row r="132" spans="2:12" x14ac:dyDescent="0.25">
      <c r="B132" s="1"/>
      <c r="C132" s="1"/>
      <c r="D132" s="1"/>
      <c r="E132" s="54"/>
      <c r="F132" s="54"/>
      <c r="G132" s="3"/>
      <c r="H132" s="3"/>
      <c r="I132" s="3"/>
      <c r="J132" s="3"/>
      <c r="K132" s="3"/>
      <c r="L132" s="3"/>
    </row>
    <row r="133" spans="2:12" x14ac:dyDescent="0.25">
      <c r="B133" s="1"/>
      <c r="C133" s="1"/>
      <c r="D133" s="1"/>
      <c r="E133" s="54"/>
      <c r="F133" s="54"/>
      <c r="G133" s="3"/>
      <c r="H133" s="3"/>
      <c r="I133" s="3"/>
      <c r="J133" s="3"/>
      <c r="K133" s="3"/>
      <c r="L133" s="3"/>
    </row>
    <row r="134" spans="2:12" x14ac:dyDescent="0.25">
      <c r="B134" s="1"/>
      <c r="C134" s="1"/>
      <c r="D134" s="1"/>
      <c r="E134" s="54"/>
      <c r="F134" s="54"/>
      <c r="G134" s="3"/>
      <c r="H134" s="3"/>
      <c r="I134" s="3"/>
      <c r="J134" s="3"/>
      <c r="K134" s="3"/>
      <c r="L134" s="3"/>
    </row>
    <row r="135" spans="2:12" x14ac:dyDescent="0.25">
      <c r="B135" s="1"/>
      <c r="C135" s="1"/>
      <c r="D135" s="1"/>
      <c r="E135" s="54"/>
      <c r="F135" s="54"/>
      <c r="G135" s="3"/>
      <c r="H135" s="3"/>
      <c r="I135" s="3"/>
      <c r="J135" s="3"/>
      <c r="K135" s="3"/>
      <c r="L135" s="3"/>
    </row>
    <row r="136" spans="2:12" x14ac:dyDescent="0.25">
      <c r="B136" s="288" t="s">
        <v>114</v>
      </c>
      <c r="C136" s="289"/>
      <c r="D136" s="116">
        <f>SUM(D126:D135)</f>
        <v>36.800000000000004</v>
      </c>
      <c r="E136" s="3"/>
      <c r="F136" s="51"/>
      <c r="G136" s="51" t="s">
        <v>98</v>
      </c>
      <c r="H136" s="51">
        <f>SUM(H126:H135)</f>
        <v>376</v>
      </c>
      <c r="I136" s="51">
        <f>SUM(I126:I135)</f>
        <v>0</v>
      </c>
      <c r="J136" s="51">
        <f>SUM(J126:J135)</f>
        <v>0</v>
      </c>
      <c r="K136" s="51">
        <f>SUM(K126:K135)</f>
        <v>376</v>
      </c>
      <c r="L136" s="51"/>
    </row>
    <row r="137" spans="2:12" x14ac:dyDescent="0.25">
      <c r="E137" s="5"/>
      <c r="F137" s="290" t="s">
        <v>113</v>
      </c>
      <c r="G137" s="290"/>
      <c r="H137" s="290"/>
      <c r="I137" s="290"/>
      <c r="J137" s="290"/>
      <c r="K137" s="67">
        <f>K136+D136</f>
        <v>412.8</v>
      </c>
      <c r="L137" s="5"/>
    </row>
    <row r="139" spans="2:12" ht="15.75" thickBot="1" x14ac:dyDescent="0.3"/>
    <row r="140" spans="2:12" x14ac:dyDescent="0.25">
      <c r="B140" s="283" t="s">
        <v>108</v>
      </c>
      <c r="C140" s="284"/>
      <c r="D140" s="285"/>
      <c r="E140" s="287" t="s">
        <v>103</v>
      </c>
      <c r="F140" s="287"/>
      <c r="G140" s="287"/>
      <c r="H140" s="287"/>
      <c r="I140" s="287"/>
      <c r="J140" s="287"/>
      <c r="K140" s="287"/>
      <c r="L140" s="287"/>
    </row>
    <row r="141" spans="2:12" x14ac:dyDescent="0.25">
      <c r="B141" s="116" t="s">
        <v>106</v>
      </c>
      <c r="C141" s="116" t="s">
        <v>107</v>
      </c>
      <c r="D141" s="116" t="s">
        <v>105</v>
      </c>
      <c r="E141" s="82" t="s">
        <v>100</v>
      </c>
      <c r="F141" s="82" t="s">
        <v>63</v>
      </c>
      <c r="G141" s="82" t="s">
        <v>69</v>
      </c>
      <c r="H141" s="82" t="s">
        <v>57</v>
      </c>
      <c r="I141" s="82" t="s">
        <v>58</v>
      </c>
      <c r="J141" s="82" t="s">
        <v>59</v>
      </c>
      <c r="K141" s="82" t="s">
        <v>99</v>
      </c>
      <c r="L141" s="82" t="s">
        <v>76</v>
      </c>
    </row>
    <row r="142" spans="2:12" x14ac:dyDescent="0.25">
      <c r="B142" s="1"/>
      <c r="C142" s="1"/>
      <c r="D142" s="1"/>
      <c r="E142" s="1">
        <v>1</v>
      </c>
      <c r="F142" s="83"/>
      <c r="G142" s="3"/>
      <c r="H142" s="71">
        <v>398.20499999999998</v>
      </c>
      <c r="I142" s="3"/>
      <c r="J142" s="3"/>
      <c r="K142" s="3">
        <f>H142+I152-J152</f>
        <v>398.20499999999998</v>
      </c>
      <c r="L142" s="3"/>
    </row>
    <row r="143" spans="2:12" x14ac:dyDescent="0.25">
      <c r="B143" s="47">
        <v>45904</v>
      </c>
      <c r="C143" s="1" t="s">
        <v>110</v>
      </c>
      <c r="D143" s="1">
        <v>19</v>
      </c>
      <c r="E143" s="54"/>
      <c r="F143" s="47"/>
      <c r="G143" s="1"/>
      <c r="H143" s="3"/>
      <c r="I143" s="3"/>
      <c r="J143" s="3"/>
      <c r="K143" s="3"/>
      <c r="L143" s="3"/>
    </row>
    <row r="144" spans="2:12" x14ac:dyDescent="0.25">
      <c r="B144" s="47">
        <v>45904</v>
      </c>
      <c r="C144" s="1" t="s">
        <v>110</v>
      </c>
      <c r="D144" s="1">
        <v>11.2</v>
      </c>
      <c r="E144" s="54"/>
      <c r="F144" s="47"/>
      <c r="G144" s="1"/>
      <c r="H144" s="3"/>
      <c r="I144" s="3"/>
      <c r="J144" s="3"/>
      <c r="K144" s="3"/>
      <c r="L144" s="3"/>
    </row>
    <row r="145" spans="2:12" x14ac:dyDescent="0.25">
      <c r="B145" s="47">
        <v>45904</v>
      </c>
      <c r="C145" s="1" t="s">
        <v>110</v>
      </c>
      <c r="D145" s="1">
        <v>19.399999999999999</v>
      </c>
      <c r="E145" s="54"/>
      <c r="F145" s="47"/>
      <c r="G145" s="1"/>
      <c r="H145" s="3"/>
      <c r="I145" s="3"/>
      <c r="J145" s="3"/>
      <c r="K145" s="3"/>
      <c r="L145" s="3"/>
    </row>
    <row r="146" spans="2:12" x14ac:dyDescent="0.25">
      <c r="B146" s="47">
        <v>45946</v>
      </c>
      <c r="C146" s="1" t="s">
        <v>116</v>
      </c>
      <c r="D146" s="1">
        <v>10.199999999999999</v>
      </c>
      <c r="E146" s="54"/>
      <c r="F146" s="54"/>
      <c r="G146" s="3"/>
      <c r="H146" s="3"/>
      <c r="I146" s="3"/>
      <c r="J146" s="3"/>
      <c r="K146" s="3"/>
      <c r="L146" s="3"/>
    </row>
    <row r="147" spans="2:12" x14ac:dyDescent="0.25">
      <c r="B147" s="1"/>
      <c r="C147" s="1" t="s">
        <v>116</v>
      </c>
      <c r="D147" s="1">
        <v>7.8</v>
      </c>
      <c r="E147" s="54"/>
      <c r="F147" s="54"/>
      <c r="G147" s="3"/>
      <c r="H147" s="3"/>
      <c r="I147" s="3"/>
      <c r="J147" s="3"/>
      <c r="K147" s="3"/>
      <c r="L147" s="3"/>
    </row>
    <row r="148" spans="2:12" x14ac:dyDescent="0.25">
      <c r="B148" s="47">
        <v>45952</v>
      </c>
      <c r="C148" s="1" t="s">
        <v>116</v>
      </c>
      <c r="D148" s="1">
        <v>13.2</v>
      </c>
      <c r="E148" s="54"/>
      <c r="F148" s="54"/>
      <c r="G148" s="3"/>
      <c r="H148" s="3"/>
      <c r="I148" s="3"/>
      <c r="J148" s="3"/>
      <c r="K148" s="3"/>
      <c r="L148" s="3"/>
    </row>
    <row r="149" spans="2:12" x14ac:dyDescent="0.25">
      <c r="B149" s="47">
        <v>45952</v>
      </c>
      <c r="C149" s="1" t="s">
        <v>116</v>
      </c>
      <c r="D149" s="1">
        <v>7.6</v>
      </c>
      <c r="E149" s="54"/>
      <c r="F149" s="54"/>
      <c r="G149" s="3"/>
      <c r="H149" s="3"/>
      <c r="I149" s="3"/>
      <c r="J149" s="3"/>
      <c r="K149" s="3"/>
      <c r="L149" s="3"/>
    </row>
    <row r="150" spans="2:12" x14ac:dyDescent="0.25">
      <c r="B150" s="47">
        <v>45954</v>
      </c>
      <c r="C150" s="1"/>
      <c r="D150" s="1">
        <v>4.5999999999999996</v>
      </c>
      <c r="E150" s="54"/>
      <c r="F150" s="54"/>
      <c r="G150" s="3"/>
      <c r="H150" s="3"/>
      <c r="I150" s="3"/>
      <c r="J150" s="3"/>
      <c r="K150" s="3"/>
      <c r="L150" s="3"/>
    </row>
    <row r="151" spans="2:12" x14ac:dyDescent="0.25">
      <c r="B151" s="1"/>
      <c r="C151" s="1"/>
      <c r="D151" s="1"/>
      <c r="E151" s="54"/>
      <c r="F151" s="54"/>
      <c r="G151" s="3"/>
      <c r="H151" s="3"/>
      <c r="I151" s="3"/>
      <c r="J151" s="3"/>
      <c r="K151" s="3"/>
      <c r="L151" s="3"/>
    </row>
    <row r="152" spans="2:12" x14ac:dyDescent="0.25">
      <c r="B152" s="288" t="s">
        <v>114</v>
      </c>
      <c r="C152" s="289"/>
      <c r="D152" s="116">
        <f>SUM(D142:D151)</f>
        <v>92.999999999999986</v>
      </c>
      <c r="E152" s="3"/>
      <c r="F152" s="51"/>
      <c r="G152" s="51" t="s">
        <v>98</v>
      </c>
      <c r="H152" s="51">
        <f>SUM(H142:H151)</f>
        <v>398.20499999999998</v>
      </c>
      <c r="I152" s="51"/>
      <c r="J152" s="51">
        <f>SUM(J142:J151)</f>
        <v>0</v>
      </c>
      <c r="K152" s="51">
        <f>SUM(K142:K151)</f>
        <v>398.20499999999998</v>
      </c>
      <c r="L152" s="51"/>
    </row>
    <row r="153" spans="2:12" x14ac:dyDescent="0.25">
      <c r="E153" s="5"/>
      <c r="F153" s="290" t="s">
        <v>113</v>
      </c>
      <c r="G153" s="290"/>
      <c r="H153" s="290"/>
      <c r="I153" s="290"/>
      <c r="J153" s="290"/>
      <c r="K153" s="67">
        <f>K152+D152</f>
        <v>491.20499999999998</v>
      </c>
      <c r="L153" s="5"/>
    </row>
    <row r="156" spans="2:12" ht="15.75" thickBot="1" x14ac:dyDescent="0.3">
      <c r="G156" t="s">
        <v>81</v>
      </c>
    </row>
    <row r="157" spans="2:12" x14ac:dyDescent="0.25">
      <c r="B157" s="283" t="s">
        <v>108</v>
      </c>
      <c r="C157" s="284"/>
      <c r="D157" s="285"/>
      <c r="E157" s="287" t="s">
        <v>81</v>
      </c>
      <c r="F157" s="287"/>
      <c r="G157" s="287"/>
      <c r="H157" s="287"/>
      <c r="I157" s="287"/>
      <c r="J157" s="287"/>
      <c r="K157" s="287"/>
      <c r="L157" s="287"/>
    </row>
    <row r="158" spans="2:12" x14ac:dyDescent="0.25">
      <c r="B158" s="116" t="s">
        <v>106</v>
      </c>
      <c r="C158" s="116" t="s">
        <v>107</v>
      </c>
      <c r="D158" s="116" t="s">
        <v>105</v>
      </c>
      <c r="E158" s="82" t="s">
        <v>100</v>
      </c>
      <c r="F158" s="82" t="s">
        <v>63</v>
      </c>
      <c r="G158" s="82" t="s">
        <v>69</v>
      </c>
      <c r="H158" s="82" t="s">
        <v>57</v>
      </c>
      <c r="I158" s="82" t="s">
        <v>58</v>
      </c>
      <c r="J158" s="82" t="s">
        <v>59</v>
      </c>
      <c r="K158" s="82" t="s">
        <v>99</v>
      </c>
      <c r="L158" s="82" t="s">
        <v>76</v>
      </c>
    </row>
    <row r="159" spans="2:12" x14ac:dyDescent="0.25">
      <c r="B159" s="1"/>
      <c r="C159" s="1"/>
      <c r="D159" s="1"/>
      <c r="E159" s="1">
        <v>1</v>
      </c>
      <c r="F159" s="83"/>
      <c r="G159" s="3"/>
      <c r="H159" s="71">
        <v>224.6</v>
      </c>
      <c r="I159" s="3"/>
      <c r="J159" s="3"/>
      <c r="K159" s="3">
        <f>H159+I169-J169</f>
        <v>224.6</v>
      </c>
      <c r="L159" s="3"/>
    </row>
    <row r="160" spans="2:12" x14ac:dyDescent="0.25">
      <c r="B160" s="1"/>
      <c r="C160" s="1"/>
      <c r="D160" s="1"/>
      <c r="E160" s="54"/>
      <c r="F160" s="47"/>
      <c r="G160" s="1"/>
      <c r="H160" s="3"/>
      <c r="I160" s="3"/>
      <c r="J160" s="3"/>
      <c r="K160" s="3"/>
      <c r="L160" s="3"/>
    </row>
    <row r="161" spans="2:12" x14ac:dyDescent="0.25">
      <c r="B161" s="1"/>
      <c r="C161" s="1"/>
      <c r="D161" s="1"/>
      <c r="E161" s="54"/>
      <c r="F161" s="47"/>
      <c r="G161" s="1"/>
      <c r="H161" s="3"/>
      <c r="I161" s="3"/>
      <c r="J161" s="3"/>
      <c r="K161" s="3"/>
      <c r="L161" s="3"/>
    </row>
    <row r="162" spans="2:12" x14ac:dyDescent="0.25">
      <c r="B162" s="1"/>
      <c r="C162" s="1"/>
      <c r="D162" s="1"/>
      <c r="E162" s="54"/>
      <c r="F162" s="47"/>
      <c r="G162" s="1"/>
      <c r="H162" s="3"/>
      <c r="I162" s="3"/>
      <c r="J162" s="3"/>
      <c r="K162" s="3"/>
      <c r="L162" s="3"/>
    </row>
    <row r="163" spans="2:12" x14ac:dyDescent="0.25">
      <c r="B163" s="1"/>
      <c r="C163" s="1"/>
      <c r="D163" s="1"/>
      <c r="E163" s="54"/>
      <c r="F163" s="54"/>
      <c r="G163" s="3"/>
      <c r="H163" s="3"/>
      <c r="I163" s="3"/>
      <c r="J163" s="3"/>
      <c r="K163" s="3"/>
      <c r="L163" s="3"/>
    </row>
    <row r="164" spans="2:12" x14ac:dyDescent="0.25">
      <c r="B164" s="1"/>
      <c r="C164" s="1"/>
      <c r="D164" s="1"/>
      <c r="E164" s="54"/>
      <c r="F164" s="54"/>
      <c r="G164" s="3"/>
      <c r="H164" s="3"/>
      <c r="I164" s="3"/>
      <c r="J164" s="3"/>
      <c r="K164" s="3"/>
      <c r="L164" s="3"/>
    </row>
    <row r="165" spans="2:12" x14ac:dyDescent="0.25">
      <c r="B165" s="1"/>
      <c r="C165" s="1"/>
      <c r="D165" s="1"/>
      <c r="E165" s="54"/>
      <c r="F165" s="54"/>
      <c r="G165" s="3"/>
      <c r="H165" s="3"/>
      <c r="I165" s="3"/>
      <c r="J165" s="3"/>
      <c r="K165" s="3"/>
      <c r="L165" s="3"/>
    </row>
    <row r="166" spans="2:12" x14ac:dyDescent="0.25">
      <c r="B166" s="1"/>
      <c r="C166" s="1"/>
      <c r="D166" s="1"/>
      <c r="E166" s="54"/>
      <c r="F166" s="54"/>
      <c r="G166" s="3"/>
      <c r="H166" s="3"/>
      <c r="I166" s="3"/>
      <c r="J166" s="3"/>
      <c r="K166" s="3"/>
      <c r="L166" s="3"/>
    </row>
    <row r="167" spans="2:12" x14ac:dyDescent="0.25">
      <c r="B167" s="1"/>
      <c r="C167" s="1"/>
      <c r="D167" s="1"/>
      <c r="E167" s="54"/>
      <c r="F167" s="54"/>
      <c r="G167" s="3"/>
      <c r="H167" s="3"/>
      <c r="I167" s="3"/>
      <c r="J167" s="3"/>
      <c r="K167" s="3"/>
      <c r="L167" s="3"/>
    </row>
    <row r="168" spans="2:12" ht="15.75" thickBot="1" x14ac:dyDescent="0.3">
      <c r="B168" s="1"/>
      <c r="C168" s="1"/>
      <c r="D168" s="1"/>
      <c r="E168" s="54"/>
      <c r="F168" s="107"/>
      <c r="G168" s="3"/>
      <c r="H168" s="3"/>
      <c r="I168" s="3"/>
      <c r="J168" s="3"/>
      <c r="K168" s="3"/>
      <c r="L168" s="3"/>
    </row>
    <row r="169" spans="2:12" ht="15.75" thickBot="1" x14ac:dyDescent="0.3">
      <c r="B169" s="288" t="s">
        <v>114</v>
      </c>
      <c r="C169" s="289"/>
      <c r="D169" s="116">
        <f>SUM(D159:D168)</f>
        <v>0</v>
      </c>
      <c r="E169" s="3"/>
      <c r="F169" s="108"/>
      <c r="G169" s="106" t="s">
        <v>98</v>
      </c>
      <c r="H169" s="51">
        <f>SUM(H159:H168)</f>
        <v>224.6</v>
      </c>
      <c r="I169" s="51">
        <f>SUM(I159:I168)</f>
        <v>0</v>
      </c>
      <c r="J169" s="51">
        <f>SUM(J159:J168)</f>
        <v>0</v>
      </c>
      <c r="K169" s="51">
        <f>SUM(K159:K168)</f>
        <v>224.6</v>
      </c>
      <c r="L169" s="51"/>
    </row>
    <row r="170" spans="2:12" x14ac:dyDescent="0.25">
      <c r="E170" s="5"/>
      <c r="F170" s="290" t="s">
        <v>113</v>
      </c>
      <c r="G170" s="290"/>
      <c r="H170" s="290"/>
      <c r="I170" s="290"/>
      <c r="J170" s="290"/>
      <c r="K170" s="67">
        <f>K169+D169</f>
        <v>224.6</v>
      </c>
      <c r="L170" s="5"/>
    </row>
    <row r="172" spans="2:12" ht="15.75" thickBot="1" x14ac:dyDescent="0.3"/>
    <row r="173" spans="2:12" x14ac:dyDescent="0.25">
      <c r="B173" s="283" t="s">
        <v>108</v>
      </c>
      <c r="C173" s="284"/>
      <c r="D173" s="285"/>
      <c r="E173" s="287" t="s">
        <v>96</v>
      </c>
      <c r="F173" s="287"/>
      <c r="G173" s="287"/>
      <c r="H173" s="287"/>
      <c r="I173" s="287"/>
      <c r="J173" s="287"/>
      <c r="K173" s="287"/>
      <c r="L173" s="287"/>
    </row>
    <row r="174" spans="2:12" x14ac:dyDescent="0.25">
      <c r="B174" s="116" t="s">
        <v>106</v>
      </c>
      <c r="C174" s="116" t="s">
        <v>107</v>
      </c>
      <c r="D174" s="116" t="s">
        <v>105</v>
      </c>
      <c r="E174" s="82" t="s">
        <v>100</v>
      </c>
      <c r="F174" s="82" t="s">
        <v>63</v>
      </c>
      <c r="G174" s="82" t="s">
        <v>69</v>
      </c>
      <c r="H174" s="82" t="s">
        <v>57</v>
      </c>
      <c r="I174" s="82" t="s">
        <v>58</v>
      </c>
      <c r="J174" s="82" t="s">
        <v>59</v>
      </c>
      <c r="K174" s="82" t="s">
        <v>99</v>
      </c>
      <c r="L174" s="82" t="s">
        <v>76</v>
      </c>
    </row>
    <row r="175" spans="2:12" x14ac:dyDescent="0.25">
      <c r="B175" s="47">
        <v>45791</v>
      </c>
      <c r="C175" s="34" t="s">
        <v>109</v>
      </c>
      <c r="D175" s="34">
        <v>20.53</v>
      </c>
      <c r="E175" s="1"/>
      <c r="F175" s="83"/>
      <c r="G175" s="3"/>
      <c r="H175" s="71"/>
      <c r="I175" s="3"/>
      <c r="J175" s="3"/>
      <c r="K175" s="3">
        <f>H175+I185-J185</f>
        <v>0</v>
      </c>
      <c r="L175" s="3"/>
    </row>
    <row r="176" spans="2:12" x14ac:dyDescent="0.25">
      <c r="B176" s="47">
        <v>45779</v>
      </c>
      <c r="C176" s="34" t="s">
        <v>109</v>
      </c>
      <c r="D176" s="34">
        <v>9.8000000000000007</v>
      </c>
      <c r="E176" s="54"/>
      <c r="F176" s="47"/>
      <c r="G176" s="1"/>
      <c r="H176" s="3"/>
      <c r="I176" s="3"/>
      <c r="J176" s="3"/>
      <c r="K176" s="3"/>
      <c r="L176" s="3"/>
    </row>
    <row r="177" spans="2:12" x14ac:dyDescent="0.25">
      <c r="B177" s="47">
        <v>45756</v>
      </c>
      <c r="C177" s="34" t="s">
        <v>109</v>
      </c>
      <c r="D177" s="34">
        <v>20</v>
      </c>
      <c r="E177" s="54"/>
      <c r="F177" s="47"/>
      <c r="G177" s="1"/>
      <c r="H177" s="3"/>
      <c r="I177" s="3"/>
      <c r="J177" s="3"/>
      <c r="K177" s="3"/>
      <c r="L177" s="3"/>
    </row>
    <row r="178" spans="2:12" x14ac:dyDescent="0.25">
      <c r="B178" s="47">
        <v>45771</v>
      </c>
      <c r="C178" s="34" t="s">
        <v>109</v>
      </c>
      <c r="D178" s="34">
        <v>23.885000000000002</v>
      </c>
      <c r="E178" s="54"/>
      <c r="F178" s="47"/>
      <c r="G178" s="1"/>
      <c r="H178" s="3"/>
      <c r="I178" s="3"/>
      <c r="J178" s="3"/>
      <c r="K178" s="3"/>
      <c r="L178" s="3"/>
    </row>
    <row r="179" spans="2:12" x14ac:dyDescent="0.25">
      <c r="B179" s="47">
        <v>45791</v>
      </c>
      <c r="C179" s="34" t="s">
        <v>109</v>
      </c>
      <c r="D179" s="34">
        <v>23</v>
      </c>
      <c r="E179" s="54"/>
      <c r="F179" s="54"/>
      <c r="G179" s="3"/>
      <c r="H179" s="3"/>
      <c r="I179" s="3"/>
      <c r="J179" s="3"/>
      <c r="K179" s="3"/>
      <c r="L179" s="3"/>
    </row>
    <row r="180" spans="2:12" x14ac:dyDescent="0.25">
      <c r="B180" s="1"/>
      <c r="C180" s="1"/>
      <c r="D180" s="1"/>
      <c r="E180" s="54"/>
      <c r="F180" s="54"/>
      <c r="G180" s="3"/>
      <c r="H180" s="3"/>
      <c r="I180" s="3"/>
      <c r="J180" s="3"/>
      <c r="K180" s="3"/>
      <c r="L180" s="3"/>
    </row>
    <row r="181" spans="2:12" x14ac:dyDescent="0.25">
      <c r="B181" s="1"/>
      <c r="C181" s="1"/>
      <c r="D181" s="1"/>
      <c r="E181" s="54"/>
      <c r="F181" s="54"/>
      <c r="G181" s="3"/>
      <c r="H181" s="3"/>
      <c r="I181" s="3"/>
      <c r="J181" s="3"/>
      <c r="K181" s="3"/>
      <c r="L181" s="3"/>
    </row>
    <row r="182" spans="2:12" x14ac:dyDescent="0.25">
      <c r="B182" s="1"/>
      <c r="C182" s="1"/>
      <c r="D182" s="1"/>
      <c r="E182" s="54"/>
      <c r="F182" s="54"/>
      <c r="G182" s="3"/>
      <c r="H182" s="3"/>
      <c r="I182" s="3"/>
      <c r="J182" s="3"/>
      <c r="K182" s="3"/>
      <c r="L182" s="3"/>
    </row>
    <row r="183" spans="2:12" x14ac:dyDescent="0.25">
      <c r="B183" s="1"/>
      <c r="C183" s="1"/>
      <c r="D183" s="1"/>
      <c r="E183" s="54"/>
      <c r="F183" s="54"/>
      <c r="G183" s="3"/>
      <c r="H183" s="3"/>
      <c r="I183" s="3"/>
      <c r="J183" s="3"/>
      <c r="K183" s="3"/>
      <c r="L183" s="3"/>
    </row>
    <row r="184" spans="2:12" ht="15.75" thickBot="1" x14ac:dyDescent="0.3">
      <c r="B184" s="1"/>
      <c r="C184" s="1"/>
      <c r="D184" s="1"/>
      <c r="E184" s="54"/>
      <c r="F184" s="107"/>
      <c r="G184" s="3"/>
      <c r="H184" s="3"/>
      <c r="I184" s="3"/>
      <c r="J184" s="3"/>
      <c r="K184" s="3"/>
      <c r="L184" s="3"/>
    </row>
    <row r="185" spans="2:12" ht="15.75" thickBot="1" x14ac:dyDescent="0.3">
      <c r="B185" s="288" t="s">
        <v>114</v>
      </c>
      <c r="C185" s="289"/>
      <c r="D185" s="121">
        <f>SUM(D175:D184)</f>
        <v>97.215000000000003</v>
      </c>
      <c r="E185" s="3"/>
      <c r="F185" s="108"/>
      <c r="G185" s="106" t="s">
        <v>98</v>
      </c>
      <c r="H185" s="51">
        <f>SUM(H175)</f>
        <v>0</v>
      </c>
      <c r="I185" s="51">
        <f>SUM(I175:I184)</f>
        <v>0</v>
      </c>
      <c r="J185" s="51">
        <f>SUM(J175:J184)</f>
        <v>0</v>
      </c>
      <c r="K185" s="51">
        <f>SUM(K175:K184)</f>
        <v>0</v>
      </c>
      <c r="L185" s="51"/>
    </row>
    <row r="186" spans="2:12" x14ac:dyDescent="0.25">
      <c r="E186" s="5"/>
      <c r="F186" s="290" t="s">
        <v>113</v>
      </c>
      <c r="G186" s="290"/>
      <c r="H186" s="290"/>
      <c r="I186" s="290"/>
      <c r="J186" s="290"/>
      <c r="K186" s="104">
        <f>K185+D185</f>
        <v>97.215000000000003</v>
      </c>
      <c r="L186" s="5"/>
    </row>
    <row r="187" spans="2:12" ht="15.75" thickBot="1" x14ac:dyDescent="0.3"/>
    <row r="188" spans="2:12" x14ac:dyDescent="0.25">
      <c r="B188" s="283" t="s">
        <v>108</v>
      </c>
      <c r="C188" s="284"/>
      <c r="D188" s="285"/>
      <c r="E188" s="287" t="s">
        <v>48</v>
      </c>
      <c r="F188" s="287"/>
      <c r="G188" s="287"/>
      <c r="H188" s="287"/>
      <c r="I188" s="287"/>
      <c r="J188" s="287"/>
      <c r="K188" s="287"/>
      <c r="L188" s="287"/>
    </row>
    <row r="189" spans="2:12" x14ac:dyDescent="0.25">
      <c r="B189" s="116" t="s">
        <v>106</v>
      </c>
      <c r="C189" s="116" t="s">
        <v>107</v>
      </c>
      <c r="D189" s="116" t="s">
        <v>105</v>
      </c>
      <c r="E189" s="82" t="s">
        <v>73</v>
      </c>
      <c r="F189" s="82" t="s">
        <v>63</v>
      </c>
      <c r="G189" s="82" t="s">
        <v>69</v>
      </c>
      <c r="H189" s="82" t="s">
        <v>57</v>
      </c>
      <c r="I189" s="82" t="s">
        <v>58</v>
      </c>
      <c r="J189" s="82" t="s">
        <v>59</v>
      </c>
      <c r="K189" s="82" t="s">
        <v>99</v>
      </c>
      <c r="L189" s="82" t="s">
        <v>76</v>
      </c>
    </row>
    <row r="190" spans="2:12" x14ac:dyDescent="0.25">
      <c r="B190" s="47">
        <v>45910</v>
      </c>
      <c r="C190" s="1" t="s">
        <v>111</v>
      </c>
      <c r="D190" s="1">
        <v>8.3149999999999995</v>
      </c>
      <c r="E190" s="1"/>
      <c r="F190" s="83"/>
      <c r="G190" s="3"/>
      <c r="H190" s="45"/>
      <c r="I190" s="3"/>
      <c r="J190" s="3"/>
      <c r="K190" s="3">
        <f>H190+I200-J200</f>
        <v>0</v>
      </c>
      <c r="L190" s="3"/>
    </row>
    <row r="191" spans="2:12" x14ac:dyDescent="0.25">
      <c r="B191" s="1"/>
      <c r="C191" s="1" t="s">
        <v>116</v>
      </c>
      <c r="D191" s="1">
        <v>8.1150000000000002</v>
      </c>
      <c r="E191" s="54"/>
      <c r="F191" s="83"/>
      <c r="G191" s="3"/>
      <c r="H191" s="3"/>
      <c r="I191" s="3"/>
      <c r="J191" s="3"/>
      <c r="K191" s="3"/>
      <c r="L191" s="3"/>
    </row>
    <row r="192" spans="2:12" x14ac:dyDescent="0.25">
      <c r="B192" s="47">
        <v>45931</v>
      </c>
      <c r="C192" s="1" t="s">
        <v>116</v>
      </c>
      <c r="D192" s="1">
        <v>17.2</v>
      </c>
      <c r="E192" s="54"/>
      <c r="F192" s="83"/>
      <c r="G192" s="3"/>
      <c r="H192" s="3"/>
      <c r="I192" s="3"/>
      <c r="J192" s="3"/>
      <c r="K192" s="3"/>
      <c r="L192" s="3"/>
    </row>
    <row r="193" spans="2:12" x14ac:dyDescent="0.25">
      <c r="B193" s="47">
        <v>45931</v>
      </c>
      <c r="C193" s="1" t="s">
        <v>116</v>
      </c>
      <c r="D193" s="1">
        <v>11</v>
      </c>
      <c r="E193" s="54"/>
      <c r="F193" s="54"/>
      <c r="G193" s="3"/>
      <c r="H193" s="3"/>
      <c r="I193" s="3"/>
      <c r="J193" s="3"/>
      <c r="K193" s="3"/>
      <c r="L193" s="3"/>
    </row>
    <row r="194" spans="2:12" x14ac:dyDescent="0.25">
      <c r="B194" s="47">
        <v>45931</v>
      </c>
      <c r="C194" s="1" t="s">
        <v>116</v>
      </c>
      <c r="D194" s="1">
        <v>13.8</v>
      </c>
      <c r="E194" s="54"/>
      <c r="F194" s="54"/>
      <c r="G194" s="3"/>
      <c r="H194" s="3"/>
      <c r="I194" s="3"/>
      <c r="J194" s="3"/>
      <c r="K194" s="3"/>
      <c r="L194" s="3"/>
    </row>
    <row r="195" spans="2:12" x14ac:dyDescent="0.25">
      <c r="B195" s="47">
        <v>45946</v>
      </c>
      <c r="C195" s="1" t="s">
        <v>116</v>
      </c>
      <c r="D195" s="1">
        <v>23</v>
      </c>
      <c r="E195" s="54"/>
      <c r="F195" s="54"/>
      <c r="G195" s="3"/>
      <c r="H195" s="3"/>
      <c r="I195" s="3"/>
      <c r="J195" s="3"/>
      <c r="K195" s="3"/>
      <c r="L195" s="3"/>
    </row>
    <row r="196" spans="2:12" x14ac:dyDescent="0.25">
      <c r="B196" s="47">
        <v>45946</v>
      </c>
      <c r="C196" s="1" t="s">
        <v>116</v>
      </c>
      <c r="D196" s="1">
        <v>18.600000000000001</v>
      </c>
      <c r="E196" s="54"/>
      <c r="F196" s="54"/>
      <c r="G196" s="3"/>
      <c r="H196" s="3"/>
      <c r="I196" s="3"/>
      <c r="J196" s="3"/>
      <c r="K196" s="3"/>
      <c r="L196" s="3"/>
    </row>
    <row r="197" spans="2:12" x14ac:dyDescent="0.25">
      <c r="B197" s="1"/>
      <c r="C197" s="1" t="s">
        <v>116</v>
      </c>
      <c r="D197" s="1">
        <v>12.2</v>
      </c>
      <c r="E197" s="54"/>
      <c r="F197" s="54"/>
      <c r="G197" s="3"/>
      <c r="H197" s="3"/>
      <c r="I197" s="3"/>
      <c r="J197" s="3"/>
      <c r="K197" s="3"/>
      <c r="L197" s="3"/>
    </row>
    <row r="198" spans="2:12" x14ac:dyDescent="0.25">
      <c r="B198" s="1"/>
      <c r="C198" s="1"/>
      <c r="D198" s="1"/>
      <c r="E198" s="54"/>
      <c r="F198" s="54"/>
      <c r="G198" s="3"/>
      <c r="H198" s="3"/>
      <c r="I198" s="3"/>
      <c r="J198" s="3"/>
      <c r="K198" s="3"/>
      <c r="L198" s="3"/>
    </row>
    <row r="199" spans="2:12" x14ac:dyDescent="0.25">
      <c r="B199" s="1"/>
      <c r="C199" s="1"/>
      <c r="D199" s="1"/>
      <c r="E199" s="54"/>
      <c r="F199" s="54"/>
      <c r="G199" s="3"/>
      <c r="H199" s="3"/>
      <c r="I199" s="3"/>
      <c r="J199" s="3"/>
      <c r="K199" s="3"/>
      <c r="L199" s="3"/>
    </row>
    <row r="200" spans="2:12" x14ac:dyDescent="0.25">
      <c r="B200" s="288" t="s">
        <v>114</v>
      </c>
      <c r="C200" s="289"/>
      <c r="D200" s="116">
        <f>SUM(D190:D199)</f>
        <v>112.23</v>
      </c>
      <c r="E200" s="3"/>
      <c r="F200" s="51"/>
      <c r="G200" s="51" t="s">
        <v>98</v>
      </c>
      <c r="H200" s="51">
        <f>SUM(H190:H199)</f>
        <v>0</v>
      </c>
      <c r="I200" s="51">
        <f>SUM(I190:I199)</f>
        <v>0</v>
      </c>
      <c r="J200" s="51">
        <f>SUM(J190:J199)</f>
        <v>0</v>
      </c>
      <c r="K200" s="51">
        <f>SUM(K190:K199)</f>
        <v>0</v>
      </c>
      <c r="L200" s="51"/>
    </row>
    <row r="201" spans="2:12" x14ac:dyDescent="0.25">
      <c r="E201" s="5"/>
      <c r="F201" s="290" t="s">
        <v>113</v>
      </c>
      <c r="G201" s="290"/>
      <c r="H201" s="290"/>
      <c r="I201" s="290"/>
      <c r="J201" s="290"/>
      <c r="K201" s="67">
        <f>K200+D200</f>
        <v>112.23</v>
      </c>
      <c r="L201" s="5"/>
    </row>
    <row r="208" spans="2:12" ht="15.75" thickBot="1" x14ac:dyDescent="0.3"/>
    <row r="209" spans="2:12" x14ac:dyDescent="0.25">
      <c r="B209" s="283" t="s">
        <v>108</v>
      </c>
      <c r="C209" s="284"/>
      <c r="D209" s="285"/>
      <c r="E209" s="287" t="s">
        <v>117</v>
      </c>
      <c r="F209" s="287"/>
      <c r="G209" s="287"/>
      <c r="H209" s="287"/>
      <c r="I209" s="287"/>
      <c r="J209" s="287"/>
      <c r="K209" s="287"/>
      <c r="L209" s="287"/>
    </row>
    <row r="210" spans="2:12" x14ac:dyDescent="0.25">
      <c r="B210" s="116" t="s">
        <v>106</v>
      </c>
      <c r="C210" s="116" t="s">
        <v>107</v>
      </c>
      <c r="D210" s="116" t="s">
        <v>105</v>
      </c>
      <c r="E210" s="82" t="s">
        <v>73</v>
      </c>
      <c r="F210" s="82" t="s">
        <v>63</v>
      </c>
      <c r="G210" s="82" t="s">
        <v>69</v>
      </c>
      <c r="H210" s="82" t="s">
        <v>57</v>
      </c>
      <c r="I210" s="82" t="s">
        <v>58</v>
      </c>
      <c r="J210" s="82" t="s">
        <v>59</v>
      </c>
      <c r="K210" s="82" t="s">
        <v>99</v>
      </c>
      <c r="L210" s="82" t="s">
        <v>76</v>
      </c>
    </row>
    <row r="211" spans="2:12" x14ac:dyDescent="0.25">
      <c r="B211" s="47"/>
      <c r="C211" s="1" t="s">
        <v>118</v>
      </c>
      <c r="D211" s="1">
        <v>13</v>
      </c>
      <c r="E211" s="1"/>
      <c r="F211" s="83"/>
      <c r="G211" s="3"/>
      <c r="H211" s="45"/>
      <c r="I211" s="3"/>
      <c r="J211" s="3"/>
      <c r="K211" s="3">
        <f>H211+I221-J221</f>
        <v>0</v>
      </c>
      <c r="L211" s="3"/>
    </row>
    <row r="212" spans="2:12" x14ac:dyDescent="0.25">
      <c r="B212" s="1"/>
      <c r="C212" s="1" t="s">
        <v>119</v>
      </c>
      <c r="D212" s="1">
        <v>12.455</v>
      </c>
      <c r="E212" s="54"/>
      <c r="F212" s="83"/>
      <c r="G212" s="3"/>
      <c r="H212" s="3"/>
      <c r="I212" s="3"/>
      <c r="J212" s="3"/>
      <c r="K212" s="3"/>
      <c r="L212" s="3"/>
    </row>
    <row r="213" spans="2:12" x14ac:dyDescent="0.25">
      <c r="B213" s="1"/>
      <c r="C213" s="1" t="s">
        <v>120</v>
      </c>
      <c r="D213" s="1">
        <v>7.5350000000000001</v>
      </c>
      <c r="E213" s="54"/>
      <c r="F213" s="83"/>
      <c r="G213" s="3"/>
      <c r="H213" s="3"/>
      <c r="I213" s="3"/>
      <c r="J213" s="3"/>
      <c r="K213" s="3"/>
      <c r="L213" s="3"/>
    </row>
    <row r="214" spans="2:12" x14ac:dyDescent="0.25">
      <c r="B214" s="1"/>
      <c r="C214" s="1" t="s">
        <v>116</v>
      </c>
      <c r="D214" s="1">
        <v>20</v>
      </c>
      <c r="E214" s="54"/>
      <c r="F214" s="54"/>
      <c r="G214" s="3"/>
      <c r="H214" s="3"/>
      <c r="I214" s="3"/>
      <c r="J214" s="3"/>
      <c r="K214" s="3"/>
      <c r="L214" s="3"/>
    </row>
    <row r="215" spans="2:12" x14ac:dyDescent="0.25">
      <c r="B215" s="1"/>
      <c r="C215" s="1" t="s">
        <v>116</v>
      </c>
      <c r="D215" s="1">
        <v>2.8</v>
      </c>
      <c r="E215" s="54"/>
      <c r="F215" s="54"/>
      <c r="G215" s="3"/>
      <c r="H215" s="3"/>
      <c r="I215" s="3"/>
      <c r="J215" s="3"/>
      <c r="K215" s="3"/>
      <c r="L215" s="3"/>
    </row>
    <row r="216" spans="2:12" x14ac:dyDescent="0.25">
      <c r="B216" s="1"/>
      <c r="C216" s="1" t="s">
        <v>116</v>
      </c>
      <c r="D216" s="1">
        <v>14.4</v>
      </c>
      <c r="E216" s="54"/>
      <c r="F216" s="54"/>
      <c r="G216" s="3"/>
      <c r="H216" s="3"/>
      <c r="I216" s="3"/>
      <c r="J216" s="3"/>
      <c r="K216" s="3"/>
      <c r="L216" s="3"/>
    </row>
    <row r="217" spans="2:12" x14ac:dyDescent="0.25">
      <c r="B217" s="1"/>
      <c r="C217" s="1" t="s">
        <v>116</v>
      </c>
      <c r="D217" s="1">
        <v>14.55</v>
      </c>
      <c r="E217" s="54"/>
      <c r="F217" s="54"/>
      <c r="G217" s="3"/>
      <c r="H217" s="3"/>
      <c r="I217" s="3"/>
      <c r="J217" s="3"/>
      <c r="K217" s="3"/>
      <c r="L217" s="3"/>
    </row>
    <row r="218" spans="2:12" x14ac:dyDescent="0.25">
      <c r="B218" s="1"/>
      <c r="C218" s="1" t="s">
        <v>116</v>
      </c>
      <c r="D218" s="1">
        <v>18.164999999999999</v>
      </c>
      <c r="E218" s="54"/>
      <c r="F218" s="54"/>
      <c r="G218" s="3"/>
      <c r="H218" s="3"/>
      <c r="I218" s="3"/>
      <c r="J218" s="3"/>
      <c r="K218" s="3"/>
      <c r="L218" s="3"/>
    </row>
    <row r="219" spans="2:12" x14ac:dyDescent="0.25">
      <c r="B219" s="47">
        <v>45946</v>
      </c>
      <c r="C219" s="1" t="s">
        <v>116</v>
      </c>
      <c r="D219" s="1">
        <v>4.2</v>
      </c>
      <c r="E219" s="54"/>
      <c r="F219" s="54"/>
      <c r="G219" s="3"/>
      <c r="H219" s="3"/>
      <c r="I219" s="3"/>
      <c r="J219" s="3"/>
      <c r="K219" s="3"/>
      <c r="L219" s="3"/>
    </row>
    <row r="220" spans="2:12" x14ac:dyDescent="0.25">
      <c r="B220" s="1"/>
      <c r="C220" s="1"/>
      <c r="D220" s="1"/>
      <c r="E220" s="54"/>
      <c r="F220" s="54"/>
      <c r="G220" s="3"/>
      <c r="H220" s="3"/>
      <c r="I220" s="3"/>
      <c r="J220" s="3"/>
      <c r="K220" s="3"/>
      <c r="L220" s="3"/>
    </row>
    <row r="221" spans="2:12" x14ac:dyDescent="0.25">
      <c r="B221" s="288" t="s">
        <v>114</v>
      </c>
      <c r="C221" s="289"/>
      <c r="D221" s="116">
        <f>SUM(D211:D220)</f>
        <v>107.105</v>
      </c>
      <c r="E221" s="3"/>
      <c r="F221" s="51"/>
      <c r="G221" s="51" t="s">
        <v>98</v>
      </c>
      <c r="H221" s="51">
        <f>SUM(H211:H220)</f>
        <v>0</v>
      </c>
      <c r="I221" s="51">
        <f>SUM(I211:I220)</f>
        <v>0</v>
      </c>
      <c r="J221" s="51">
        <f>SUM(J211:J220)</f>
        <v>0</v>
      </c>
      <c r="K221" s="51">
        <f>SUM(K211:K220)</f>
        <v>0</v>
      </c>
      <c r="L221" s="51"/>
    </row>
    <row r="222" spans="2:12" x14ac:dyDescent="0.25">
      <c r="E222" s="5"/>
      <c r="F222" s="290" t="s">
        <v>113</v>
      </c>
      <c r="G222" s="290"/>
      <c r="H222" s="290"/>
      <c r="I222" s="290"/>
      <c r="J222" s="290"/>
      <c r="K222" s="67">
        <f>K221+D221</f>
        <v>107.105</v>
      </c>
      <c r="L222" s="5"/>
    </row>
    <row r="224" spans="2:12" ht="15.75" thickBot="1" x14ac:dyDescent="0.3"/>
    <row r="225" spans="2:12" x14ac:dyDescent="0.25">
      <c r="B225" s="283" t="s">
        <v>108</v>
      </c>
      <c r="C225" s="284"/>
      <c r="D225" s="285"/>
      <c r="E225" s="287" t="s">
        <v>46</v>
      </c>
      <c r="F225" s="287"/>
      <c r="G225" s="287"/>
      <c r="H225" s="287"/>
      <c r="I225" s="287"/>
      <c r="J225" s="287"/>
      <c r="K225" s="287"/>
      <c r="L225" s="287"/>
    </row>
    <row r="226" spans="2:12" x14ac:dyDescent="0.25">
      <c r="B226" s="116" t="s">
        <v>106</v>
      </c>
      <c r="C226" s="116" t="s">
        <v>107</v>
      </c>
      <c r="D226" s="116" t="s">
        <v>105</v>
      </c>
      <c r="E226" s="82" t="s">
        <v>73</v>
      </c>
      <c r="F226" s="82" t="s">
        <v>63</v>
      </c>
      <c r="G226" s="82" t="s">
        <v>69</v>
      </c>
      <c r="H226" s="82" t="s">
        <v>57</v>
      </c>
      <c r="I226" s="82" t="s">
        <v>58</v>
      </c>
      <c r="J226" s="82" t="s">
        <v>59</v>
      </c>
      <c r="K226" s="82" t="s">
        <v>99</v>
      </c>
      <c r="L226" s="82" t="s">
        <v>76</v>
      </c>
    </row>
    <row r="227" spans="2:12" x14ac:dyDescent="0.25">
      <c r="B227" s="47"/>
      <c r="C227" s="1" t="s">
        <v>118</v>
      </c>
      <c r="D227" s="1">
        <v>13.8</v>
      </c>
      <c r="E227" s="1"/>
      <c r="F227" s="83"/>
      <c r="G227" s="3"/>
      <c r="H227" s="45"/>
      <c r="I227" s="3"/>
      <c r="J227" s="3"/>
      <c r="K227" s="3">
        <f>H227+I237-J237</f>
        <v>0</v>
      </c>
      <c r="L227" s="3"/>
    </row>
    <row r="228" spans="2:12" x14ac:dyDescent="0.25">
      <c r="B228" s="1"/>
      <c r="C228" s="1" t="s">
        <v>119</v>
      </c>
      <c r="D228" s="1">
        <v>10.6</v>
      </c>
      <c r="E228" s="54"/>
      <c r="F228" s="83"/>
      <c r="G228" s="3"/>
      <c r="H228" s="3"/>
      <c r="I228" s="3"/>
      <c r="J228" s="3"/>
      <c r="K228" s="3"/>
      <c r="L228" s="3"/>
    </row>
    <row r="229" spans="2:12" x14ac:dyDescent="0.25">
      <c r="B229" s="1"/>
      <c r="C229" s="1" t="s">
        <v>116</v>
      </c>
      <c r="D229" s="1">
        <v>13</v>
      </c>
      <c r="E229" s="54"/>
      <c r="F229" s="83"/>
      <c r="G229" s="3"/>
      <c r="H229" s="3"/>
      <c r="I229" s="3"/>
      <c r="J229" s="3"/>
      <c r="K229" s="3"/>
      <c r="L229" s="3"/>
    </row>
    <row r="230" spans="2:12" x14ac:dyDescent="0.25">
      <c r="B230" s="1"/>
      <c r="C230" s="1" t="s">
        <v>116</v>
      </c>
      <c r="D230" s="1">
        <v>12.8</v>
      </c>
      <c r="E230" s="54"/>
      <c r="F230" s="54"/>
      <c r="G230" s="3"/>
      <c r="H230" s="3"/>
      <c r="I230" s="3"/>
      <c r="J230" s="3"/>
      <c r="K230" s="3"/>
      <c r="L230" s="3"/>
    </row>
    <row r="231" spans="2:12" x14ac:dyDescent="0.25">
      <c r="B231" s="47">
        <v>45945</v>
      </c>
      <c r="C231" s="1" t="s">
        <v>116</v>
      </c>
      <c r="D231" s="1">
        <v>17.8</v>
      </c>
      <c r="E231" s="54"/>
      <c r="F231" s="54"/>
      <c r="G231" s="3"/>
      <c r="H231" s="3"/>
      <c r="I231" s="3"/>
      <c r="J231" s="3"/>
      <c r="K231" s="3"/>
      <c r="L231" s="3"/>
    </row>
    <row r="232" spans="2:12" x14ac:dyDescent="0.25">
      <c r="B232" s="1"/>
      <c r="C232" s="1"/>
      <c r="D232" s="1"/>
      <c r="E232" s="54"/>
      <c r="F232" s="54"/>
      <c r="G232" s="3"/>
      <c r="H232" s="3"/>
      <c r="I232" s="3"/>
      <c r="J232" s="3"/>
      <c r="K232" s="3"/>
      <c r="L232" s="3"/>
    </row>
    <row r="233" spans="2:12" x14ac:dyDescent="0.25">
      <c r="B233" s="1"/>
      <c r="C233" s="1"/>
      <c r="D233" s="1"/>
      <c r="E233" s="54"/>
      <c r="F233" s="54"/>
      <c r="G233" s="3"/>
      <c r="H233" s="3"/>
      <c r="I233" s="3"/>
      <c r="J233" s="3"/>
      <c r="K233" s="3"/>
      <c r="L233" s="3"/>
    </row>
    <row r="234" spans="2:12" x14ac:dyDescent="0.25">
      <c r="B234" s="1"/>
      <c r="C234" s="1"/>
      <c r="D234" s="1"/>
      <c r="E234" s="54"/>
      <c r="F234" s="54"/>
      <c r="G234" s="3"/>
      <c r="H234" s="3"/>
      <c r="I234" s="3"/>
      <c r="J234" s="3"/>
      <c r="K234" s="3"/>
      <c r="L234" s="3"/>
    </row>
    <row r="235" spans="2:12" x14ac:dyDescent="0.25">
      <c r="B235" s="1"/>
      <c r="C235" s="1"/>
      <c r="D235" s="1"/>
      <c r="E235" s="54"/>
      <c r="F235" s="54"/>
      <c r="G235" s="3"/>
      <c r="H235" s="3"/>
      <c r="I235" s="3"/>
      <c r="J235" s="3"/>
      <c r="K235" s="3"/>
      <c r="L235" s="3"/>
    </row>
    <row r="236" spans="2:12" x14ac:dyDescent="0.25">
      <c r="B236" s="1"/>
      <c r="C236" s="1"/>
      <c r="D236" s="1"/>
      <c r="E236" s="54"/>
      <c r="F236" s="54"/>
      <c r="G236" s="3"/>
      <c r="H236" s="3"/>
      <c r="I236" s="3"/>
      <c r="J236" s="3"/>
      <c r="K236" s="3"/>
      <c r="L236" s="3"/>
    </row>
    <row r="237" spans="2:12" x14ac:dyDescent="0.25">
      <c r="B237" s="288" t="s">
        <v>114</v>
      </c>
      <c r="C237" s="289"/>
      <c r="D237" s="116">
        <f>SUM(D227:D236)</f>
        <v>68</v>
      </c>
      <c r="E237" s="3"/>
      <c r="F237" s="51"/>
      <c r="G237" s="51" t="s">
        <v>98</v>
      </c>
      <c r="H237" s="51">
        <f>SUM(H227:H236)</f>
        <v>0</v>
      </c>
      <c r="I237" s="51">
        <f>SUM(I227:I236)</f>
        <v>0</v>
      </c>
      <c r="J237" s="51">
        <f>SUM(J227:J236)</f>
        <v>0</v>
      </c>
      <c r="K237" s="51">
        <f>SUM(K227:K236)</f>
        <v>0</v>
      </c>
      <c r="L237" s="51"/>
    </row>
    <row r="238" spans="2:12" x14ac:dyDescent="0.25">
      <c r="E238" s="5"/>
      <c r="F238" s="290" t="s">
        <v>113</v>
      </c>
      <c r="G238" s="290"/>
      <c r="H238" s="290"/>
      <c r="I238" s="290"/>
      <c r="J238" s="290"/>
      <c r="K238" s="67">
        <f>K237+D237</f>
        <v>68</v>
      </c>
      <c r="L238" s="5"/>
    </row>
    <row r="241" spans="2:12" ht="15.75" thickBot="1" x14ac:dyDescent="0.3"/>
    <row r="242" spans="2:12" x14ac:dyDescent="0.25">
      <c r="B242" s="283" t="s">
        <v>108</v>
      </c>
      <c r="C242" s="284"/>
      <c r="D242" s="285"/>
      <c r="E242" s="287" t="s">
        <v>79</v>
      </c>
      <c r="F242" s="287"/>
      <c r="G242" s="287"/>
      <c r="H242" s="287"/>
      <c r="I242" s="287"/>
      <c r="J242" s="287"/>
      <c r="K242" s="287"/>
      <c r="L242" s="287"/>
    </row>
    <row r="243" spans="2:12" x14ac:dyDescent="0.25">
      <c r="B243" s="116" t="s">
        <v>106</v>
      </c>
      <c r="C243" s="116" t="s">
        <v>107</v>
      </c>
      <c r="D243" s="116" t="s">
        <v>105</v>
      </c>
      <c r="E243" s="82" t="s">
        <v>73</v>
      </c>
      <c r="F243" s="82" t="s">
        <v>63</v>
      </c>
      <c r="G243" s="82" t="s">
        <v>69</v>
      </c>
      <c r="H243" s="82" t="s">
        <v>57</v>
      </c>
      <c r="I243" s="82" t="s">
        <v>58</v>
      </c>
      <c r="J243" s="82" t="s">
        <v>59</v>
      </c>
      <c r="K243" s="82" t="s">
        <v>99</v>
      </c>
      <c r="L243" s="82" t="s">
        <v>76</v>
      </c>
    </row>
    <row r="244" spans="2:12" x14ac:dyDescent="0.25">
      <c r="B244" s="47">
        <v>45910</v>
      </c>
      <c r="C244" s="1" t="s">
        <v>116</v>
      </c>
      <c r="D244" s="1">
        <v>26.4</v>
      </c>
      <c r="E244" s="1"/>
      <c r="F244" s="83"/>
      <c r="G244" s="3"/>
      <c r="H244" s="45"/>
      <c r="I244" s="3"/>
      <c r="J244" s="3"/>
      <c r="K244" s="3">
        <f>H244+I254-J254</f>
        <v>0</v>
      </c>
      <c r="L244" s="3"/>
    </row>
    <row r="245" spans="2:12" x14ac:dyDescent="0.25">
      <c r="B245" s="47">
        <v>45912</v>
      </c>
      <c r="C245" s="1" t="s">
        <v>116</v>
      </c>
      <c r="D245" s="1">
        <v>7</v>
      </c>
      <c r="E245" s="54"/>
      <c r="F245" s="83"/>
      <c r="G245" s="3"/>
      <c r="H245" s="3"/>
      <c r="I245" s="3"/>
      <c r="J245" s="3"/>
      <c r="K245" s="3"/>
      <c r="L245" s="3"/>
    </row>
    <row r="246" spans="2:12" x14ac:dyDescent="0.25">
      <c r="B246" s="47">
        <v>45912</v>
      </c>
      <c r="C246" s="1" t="s">
        <v>116</v>
      </c>
      <c r="D246" s="1">
        <v>13</v>
      </c>
      <c r="E246" s="54"/>
      <c r="F246" s="83"/>
      <c r="G246" s="3"/>
      <c r="H246" s="3"/>
      <c r="I246" s="3"/>
      <c r="J246" s="3"/>
      <c r="K246" s="3"/>
      <c r="L246" s="3"/>
    </row>
    <row r="247" spans="2:12" x14ac:dyDescent="0.25">
      <c r="B247" s="47">
        <v>45912</v>
      </c>
      <c r="C247" s="1" t="s">
        <v>116</v>
      </c>
      <c r="D247" s="1">
        <v>11.6</v>
      </c>
      <c r="E247" s="54"/>
      <c r="F247" s="54"/>
      <c r="G247" s="3"/>
      <c r="H247" s="3"/>
      <c r="I247" s="3"/>
      <c r="J247" s="3"/>
      <c r="K247" s="3"/>
      <c r="L247" s="3"/>
    </row>
    <row r="248" spans="2:12" x14ac:dyDescent="0.25">
      <c r="B248" s="47">
        <v>45912</v>
      </c>
      <c r="C248" s="1" t="s">
        <v>116</v>
      </c>
      <c r="D248" s="1">
        <v>9.6</v>
      </c>
      <c r="E248" s="54"/>
      <c r="F248" s="54"/>
      <c r="G248" s="3"/>
      <c r="H248" s="3"/>
      <c r="I248" s="3"/>
      <c r="J248" s="3"/>
      <c r="K248" s="3"/>
      <c r="L248" s="3"/>
    </row>
    <row r="249" spans="2:12" x14ac:dyDescent="0.25">
      <c r="B249" s="47">
        <v>45912</v>
      </c>
      <c r="C249" s="1" t="s">
        <v>116</v>
      </c>
      <c r="D249" s="1">
        <v>7.8</v>
      </c>
      <c r="E249" s="54"/>
      <c r="F249" s="54"/>
      <c r="G249" s="3"/>
      <c r="H249" s="3"/>
      <c r="I249" s="3"/>
      <c r="J249" s="3"/>
      <c r="K249" s="3"/>
      <c r="L249" s="3"/>
    </row>
    <row r="250" spans="2:12" x14ac:dyDescent="0.25">
      <c r="B250" s="47">
        <v>45912</v>
      </c>
      <c r="C250" s="1" t="s">
        <v>116</v>
      </c>
      <c r="D250" s="1">
        <v>26</v>
      </c>
      <c r="E250" s="54"/>
      <c r="F250" s="54"/>
      <c r="G250" s="3"/>
      <c r="H250" s="3"/>
      <c r="I250" s="3"/>
      <c r="J250" s="3"/>
      <c r="K250" s="3"/>
      <c r="L250" s="3"/>
    </row>
    <row r="251" spans="2:12" x14ac:dyDescent="0.25">
      <c r="B251" s="1"/>
      <c r="C251" s="1"/>
      <c r="D251" s="1"/>
      <c r="E251" s="54"/>
      <c r="F251" s="54"/>
      <c r="G251" s="3"/>
      <c r="H251" s="3"/>
      <c r="I251" s="3"/>
      <c r="J251" s="3"/>
      <c r="K251" s="3"/>
      <c r="L251" s="3"/>
    </row>
    <row r="252" spans="2:12" x14ac:dyDescent="0.25">
      <c r="B252" s="1"/>
      <c r="C252" s="1"/>
      <c r="D252" s="1"/>
      <c r="E252" s="54"/>
      <c r="F252" s="54"/>
      <c r="G252" s="3"/>
      <c r="H252" s="3"/>
      <c r="I252" s="3"/>
      <c r="J252" s="3"/>
      <c r="K252" s="3"/>
      <c r="L252" s="3"/>
    </row>
    <row r="253" spans="2:12" x14ac:dyDescent="0.25">
      <c r="B253" s="1"/>
      <c r="C253" s="1"/>
      <c r="D253" s="1"/>
      <c r="E253" s="54"/>
      <c r="F253" s="54"/>
      <c r="G253" s="3"/>
      <c r="H253" s="3"/>
      <c r="I253" s="3"/>
      <c r="J253" s="3"/>
      <c r="K253" s="3"/>
      <c r="L253" s="3"/>
    </row>
    <row r="254" spans="2:12" x14ac:dyDescent="0.25">
      <c r="B254" s="288" t="s">
        <v>114</v>
      </c>
      <c r="C254" s="289"/>
      <c r="D254" s="116">
        <f>SUM(D244:D253)</f>
        <v>101.39999999999999</v>
      </c>
      <c r="E254" s="3"/>
      <c r="F254" s="51"/>
      <c r="G254" s="51" t="s">
        <v>98</v>
      </c>
      <c r="H254" s="51">
        <f>SUM(H244:H253)</f>
        <v>0</v>
      </c>
      <c r="I254" s="51">
        <f>SUM(I244:I253)</f>
        <v>0</v>
      </c>
      <c r="J254" s="51">
        <f>SUM(J244:J253)</f>
        <v>0</v>
      </c>
      <c r="K254" s="51">
        <f>SUM(K244:K253)</f>
        <v>0</v>
      </c>
      <c r="L254" s="51"/>
    </row>
    <row r="255" spans="2:12" x14ac:dyDescent="0.25">
      <c r="E255" s="5"/>
      <c r="F255" s="290" t="s">
        <v>113</v>
      </c>
      <c r="G255" s="290"/>
      <c r="H255" s="290"/>
      <c r="I255" s="290"/>
      <c r="J255" s="290"/>
      <c r="K255" s="67">
        <f>K254+D254</f>
        <v>101.39999999999999</v>
      </c>
      <c r="L255" s="5"/>
    </row>
    <row r="258" spans="2:12" ht="15.75" thickBot="1" x14ac:dyDescent="0.3"/>
    <row r="259" spans="2:12" x14ac:dyDescent="0.25">
      <c r="B259" s="283" t="s">
        <v>108</v>
      </c>
      <c r="C259" s="284"/>
      <c r="D259" s="285"/>
      <c r="E259" s="287" t="s">
        <v>97</v>
      </c>
      <c r="F259" s="287"/>
      <c r="G259" s="287"/>
      <c r="H259" s="287"/>
      <c r="I259" s="287"/>
      <c r="J259" s="287"/>
      <c r="K259" s="287"/>
      <c r="L259" s="287"/>
    </row>
    <row r="260" spans="2:12" x14ac:dyDescent="0.25">
      <c r="B260" s="116" t="s">
        <v>106</v>
      </c>
      <c r="C260" s="116" t="s">
        <v>107</v>
      </c>
      <c r="D260" s="116" t="s">
        <v>105</v>
      </c>
      <c r="E260" s="82" t="s">
        <v>73</v>
      </c>
      <c r="F260" s="82" t="s">
        <v>63</v>
      </c>
      <c r="G260" s="82" t="s">
        <v>69</v>
      </c>
      <c r="H260" s="82" t="s">
        <v>57</v>
      </c>
      <c r="I260" s="82" t="s">
        <v>58</v>
      </c>
      <c r="J260" s="82" t="s">
        <v>59</v>
      </c>
      <c r="K260" s="82" t="s">
        <v>99</v>
      </c>
      <c r="L260" s="82" t="s">
        <v>76</v>
      </c>
    </row>
    <row r="261" spans="2:12" x14ac:dyDescent="0.25">
      <c r="B261" s="47">
        <v>45912</v>
      </c>
      <c r="C261" s="1" t="s">
        <v>116</v>
      </c>
      <c r="D261" s="1">
        <v>14</v>
      </c>
      <c r="E261" s="1"/>
      <c r="F261" s="83"/>
      <c r="G261" s="3"/>
      <c r="H261" s="45"/>
      <c r="I261" s="3"/>
      <c r="J261" s="3"/>
      <c r="K261" s="3">
        <f>H261+I271-J271</f>
        <v>0</v>
      </c>
      <c r="L261" s="3"/>
    </row>
    <row r="262" spans="2:12" x14ac:dyDescent="0.25">
      <c r="B262" s="47">
        <v>45912</v>
      </c>
      <c r="C262" s="1" t="s">
        <v>116</v>
      </c>
      <c r="D262" s="1">
        <v>15.6</v>
      </c>
      <c r="E262" s="54"/>
      <c r="F262" s="83"/>
      <c r="G262" s="3"/>
      <c r="H262" s="3"/>
      <c r="I262" s="3"/>
      <c r="J262" s="3"/>
      <c r="K262" s="3"/>
      <c r="L262" s="3"/>
    </row>
    <row r="263" spans="2:12" x14ac:dyDescent="0.25">
      <c r="B263" s="1"/>
      <c r="C263" s="1"/>
      <c r="D263" s="1"/>
      <c r="E263" s="54"/>
      <c r="F263" s="83"/>
      <c r="G263" s="3"/>
      <c r="H263" s="3"/>
      <c r="I263" s="3"/>
      <c r="J263" s="3"/>
      <c r="K263" s="3"/>
      <c r="L263" s="3"/>
    </row>
    <row r="264" spans="2:12" x14ac:dyDescent="0.25">
      <c r="B264" s="1"/>
      <c r="C264" s="1"/>
      <c r="D264" s="1"/>
      <c r="E264" s="54"/>
      <c r="F264" s="54"/>
      <c r="G264" s="3"/>
      <c r="H264" s="3"/>
      <c r="I264" s="3"/>
      <c r="J264" s="3"/>
      <c r="K264" s="3"/>
      <c r="L264" s="3"/>
    </row>
    <row r="265" spans="2:12" x14ac:dyDescent="0.25">
      <c r="B265" s="1"/>
      <c r="C265" s="1"/>
      <c r="D265" s="1"/>
      <c r="E265" s="54"/>
      <c r="F265" s="54"/>
      <c r="G265" s="3"/>
      <c r="H265" s="3"/>
      <c r="I265" s="3"/>
      <c r="J265" s="3"/>
      <c r="K265" s="3"/>
      <c r="L265" s="3"/>
    </row>
    <row r="266" spans="2:12" x14ac:dyDescent="0.25">
      <c r="B266" s="1"/>
      <c r="C266" s="1"/>
      <c r="D266" s="1"/>
      <c r="E266" s="54"/>
      <c r="F266" s="54"/>
      <c r="G266" s="3"/>
      <c r="H266" s="3"/>
      <c r="I266" s="3"/>
      <c r="J266" s="3"/>
      <c r="K266" s="3"/>
      <c r="L266" s="3"/>
    </row>
    <row r="267" spans="2:12" x14ac:dyDescent="0.25">
      <c r="B267" s="1"/>
      <c r="C267" s="1"/>
      <c r="D267" s="1"/>
      <c r="E267" s="54"/>
      <c r="F267" s="54"/>
      <c r="G267" s="3"/>
      <c r="H267" s="3"/>
      <c r="I267" s="3"/>
      <c r="J267" s="3"/>
      <c r="K267" s="3"/>
      <c r="L267" s="3"/>
    </row>
    <row r="268" spans="2:12" x14ac:dyDescent="0.25">
      <c r="B268" s="1"/>
      <c r="C268" s="1"/>
      <c r="D268" s="1"/>
      <c r="E268" s="54"/>
      <c r="F268" s="54"/>
      <c r="G268" s="3"/>
      <c r="H268" s="3"/>
      <c r="I268" s="3"/>
      <c r="J268" s="3"/>
      <c r="K268" s="3"/>
      <c r="L268" s="3"/>
    </row>
    <row r="269" spans="2:12" x14ac:dyDescent="0.25">
      <c r="B269" s="1"/>
      <c r="C269" s="1"/>
      <c r="D269" s="1"/>
      <c r="E269" s="54"/>
      <c r="F269" s="54"/>
      <c r="G269" s="3"/>
      <c r="H269" s="3"/>
      <c r="I269" s="3"/>
      <c r="J269" s="3"/>
      <c r="K269" s="3"/>
      <c r="L269" s="3"/>
    </row>
    <row r="270" spans="2:12" x14ac:dyDescent="0.25">
      <c r="B270" s="1"/>
      <c r="C270" s="1"/>
      <c r="D270" s="1"/>
      <c r="E270" s="54"/>
      <c r="F270" s="54"/>
      <c r="G270" s="3"/>
      <c r="H270" s="3"/>
      <c r="I270" s="3"/>
      <c r="J270" s="3"/>
      <c r="K270" s="3"/>
      <c r="L270" s="3"/>
    </row>
    <row r="271" spans="2:12" x14ac:dyDescent="0.25">
      <c r="B271" s="288" t="s">
        <v>114</v>
      </c>
      <c r="C271" s="289"/>
      <c r="D271" s="116">
        <f>SUM(D261:D270)</f>
        <v>29.6</v>
      </c>
      <c r="E271" s="3"/>
      <c r="F271" s="51"/>
      <c r="G271" s="51" t="s">
        <v>98</v>
      </c>
      <c r="H271" s="51">
        <f>SUM(H261:H270)</f>
        <v>0</v>
      </c>
      <c r="I271" s="51">
        <f>SUM(I261:I270)</f>
        <v>0</v>
      </c>
      <c r="J271" s="51">
        <f>SUM(J261:J270)</f>
        <v>0</v>
      </c>
      <c r="K271" s="51">
        <f>SUM(K261:K270)</f>
        <v>0</v>
      </c>
      <c r="L271" s="51"/>
    </row>
    <row r="272" spans="2:12" x14ac:dyDescent="0.25">
      <c r="E272" s="5"/>
      <c r="F272" s="290" t="s">
        <v>113</v>
      </c>
      <c r="G272" s="290"/>
      <c r="H272" s="290"/>
      <c r="I272" s="290"/>
      <c r="J272" s="290"/>
      <c r="K272" s="67">
        <f>K271+D271</f>
        <v>29.6</v>
      </c>
      <c r="L272" s="5"/>
    </row>
    <row r="275" spans="2:12" ht="15.75" thickBot="1" x14ac:dyDescent="0.3"/>
    <row r="276" spans="2:12" x14ac:dyDescent="0.25">
      <c r="B276" s="283" t="s">
        <v>108</v>
      </c>
      <c r="C276" s="284"/>
      <c r="D276" s="285"/>
      <c r="E276" s="287" t="s">
        <v>78</v>
      </c>
      <c r="F276" s="287"/>
      <c r="G276" s="287"/>
      <c r="H276" s="287"/>
      <c r="I276" s="287"/>
      <c r="J276" s="287"/>
      <c r="K276" s="287"/>
      <c r="L276" s="287"/>
    </row>
    <row r="277" spans="2:12" x14ac:dyDescent="0.25">
      <c r="B277" s="116" t="s">
        <v>106</v>
      </c>
      <c r="C277" s="116" t="s">
        <v>107</v>
      </c>
      <c r="D277" s="116" t="s">
        <v>105</v>
      </c>
      <c r="E277" s="82" t="s">
        <v>73</v>
      </c>
      <c r="F277" s="82" t="s">
        <v>63</v>
      </c>
      <c r="G277" s="82" t="s">
        <v>69</v>
      </c>
      <c r="H277" s="82" t="s">
        <v>57</v>
      </c>
      <c r="I277" s="82" t="s">
        <v>58</v>
      </c>
      <c r="J277" s="82" t="s">
        <v>59</v>
      </c>
      <c r="K277" s="82" t="s">
        <v>99</v>
      </c>
      <c r="L277" s="82" t="s">
        <v>76</v>
      </c>
    </row>
    <row r="278" spans="2:12" x14ac:dyDescent="0.25">
      <c r="B278" s="47"/>
      <c r="C278" s="1" t="s">
        <v>116</v>
      </c>
      <c r="D278" s="1">
        <v>13.2</v>
      </c>
      <c r="E278" s="1"/>
      <c r="F278" s="83"/>
      <c r="G278" s="3"/>
      <c r="H278" s="45"/>
      <c r="I278" s="3"/>
      <c r="J278" s="3"/>
      <c r="K278" s="3">
        <f>H278+I288-J288</f>
        <v>0</v>
      </c>
      <c r="L278" s="3"/>
    </row>
    <row r="279" spans="2:12" x14ac:dyDescent="0.25">
      <c r="B279" s="47"/>
      <c r="C279" s="1" t="s">
        <v>116</v>
      </c>
      <c r="D279" s="1">
        <v>15.2</v>
      </c>
      <c r="E279" s="54"/>
      <c r="F279" s="83"/>
      <c r="G279" s="3"/>
      <c r="H279" s="3"/>
      <c r="I279" s="3"/>
      <c r="J279" s="3"/>
      <c r="K279" s="3"/>
      <c r="L279" s="3"/>
    </row>
    <row r="280" spans="2:12" x14ac:dyDescent="0.25">
      <c r="B280" s="1"/>
      <c r="C280" s="1" t="s">
        <v>116</v>
      </c>
      <c r="D280" s="1">
        <v>4.5999999999999996</v>
      </c>
      <c r="E280" s="54"/>
      <c r="F280" s="83"/>
      <c r="G280" s="3"/>
      <c r="H280" s="3"/>
      <c r="I280" s="3"/>
      <c r="J280" s="3"/>
      <c r="K280" s="3"/>
      <c r="L280" s="3"/>
    </row>
    <row r="281" spans="2:12" x14ac:dyDescent="0.25">
      <c r="B281" s="1"/>
      <c r="C281" s="1" t="s">
        <v>116</v>
      </c>
      <c r="D281" s="1">
        <v>10.8</v>
      </c>
      <c r="E281" s="54"/>
      <c r="F281" s="54"/>
      <c r="G281" s="3"/>
      <c r="H281" s="3"/>
      <c r="I281" s="3"/>
      <c r="J281" s="3"/>
      <c r="K281" s="3"/>
      <c r="L281" s="3"/>
    </row>
    <row r="282" spans="2:12" x14ac:dyDescent="0.25">
      <c r="B282" s="1"/>
      <c r="C282" s="1" t="s">
        <v>116</v>
      </c>
      <c r="D282" s="1">
        <v>11.8</v>
      </c>
      <c r="E282" s="54"/>
      <c r="F282" s="54"/>
      <c r="G282" s="3"/>
      <c r="H282" s="3"/>
      <c r="I282" s="3"/>
      <c r="J282" s="3"/>
      <c r="K282" s="3"/>
      <c r="L282" s="3"/>
    </row>
    <row r="283" spans="2:12" x14ac:dyDescent="0.25">
      <c r="B283" s="1"/>
      <c r="C283" s="1" t="s">
        <v>116</v>
      </c>
      <c r="D283" s="1">
        <v>11.2</v>
      </c>
      <c r="E283" s="54"/>
      <c r="F283" s="54"/>
      <c r="G283" s="3"/>
      <c r="H283" s="3"/>
      <c r="I283" s="3"/>
      <c r="J283" s="3"/>
      <c r="K283" s="3"/>
      <c r="L283" s="3"/>
    </row>
    <row r="284" spans="2:12" x14ac:dyDescent="0.25">
      <c r="B284" s="1"/>
      <c r="C284" s="1" t="s">
        <v>116</v>
      </c>
      <c r="D284" s="1">
        <v>9.1999999999999993</v>
      </c>
      <c r="E284" s="54"/>
      <c r="F284" s="54"/>
      <c r="G284" s="3"/>
      <c r="H284" s="3"/>
      <c r="I284" s="3"/>
      <c r="J284" s="3"/>
      <c r="K284" s="3"/>
      <c r="L284" s="3"/>
    </row>
    <row r="285" spans="2:12" x14ac:dyDescent="0.25">
      <c r="B285" s="1"/>
      <c r="C285" s="1" t="s">
        <v>116</v>
      </c>
      <c r="D285" s="1">
        <v>7.8</v>
      </c>
      <c r="E285" s="54"/>
      <c r="F285" s="54"/>
      <c r="G285" s="3"/>
      <c r="H285" s="3"/>
      <c r="I285" s="3"/>
      <c r="J285" s="3"/>
      <c r="K285" s="3"/>
      <c r="L285" s="3"/>
    </row>
    <row r="286" spans="2:12" x14ac:dyDescent="0.25">
      <c r="B286" s="1"/>
      <c r="C286" s="1" t="s">
        <v>116</v>
      </c>
      <c r="D286" s="1">
        <v>9.6</v>
      </c>
      <c r="E286" s="54"/>
      <c r="F286" s="54"/>
      <c r="G286" s="3"/>
      <c r="H286" s="3"/>
      <c r="I286" s="3"/>
      <c r="J286" s="3"/>
      <c r="K286" s="3"/>
      <c r="L286" s="3"/>
    </row>
    <row r="287" spans="2:12" x14ac:dyDescent="0.25">
      <c r="B287" s="1"/>
      <c r="C287" s="1" t="s">
        <v>116</v>
      </c>
      <c r="D287" s="1">
        <v>13.4</v>
      </c>
      <c r="E287" s="54"/>
      <c r="F287" s="54"/>
      <c r="G287" s="3"/>
      <c r="H287" s="3"/>
      <c r="I287" s="3"/>
      <c r="J287" s="3"/>
      <c r="K287" s="3"/>
      <c r="L287" s="3"/>
    </row>
    <row r="288" spans="2:12" x14ac:dyDescent="0.25">
      <c r="B288" s="288" t="s">
        <v>114</v>
      </c>
      <c r="C288" s="289"/>
      <c r="D288" s="116">
        <f>SUM(D278:D287)</f>
        <v>106.8</v>
      </c>
      <c r="E288" s="3"/>
      <c r="F288" s="51"/>
      <c r="G288" s="51" t="s">
        <v>98</v>
      </c>
      <c r="H288" s="51">
        <f>SUM(H278:H287)</f>
        <v>0</v>
      </c>
      <c r="I288" s="51">
        <f>SUM(I278:I287)</f>
        <v>0</v>
      </c>
      <c r="J288" s="51">
        <f>SUM(J278:J287)</f>
        <v>0</v>
      </c>
      <c r="K288" s="51">
        <f>SUM(K278:K287)</f>
        <v>0</v>
      </c>
      <c r="L288" s="51"/>
    </row>
    <row r="289" spans="5:12" x14ac:dyDescent="0.25">
      <c r="E289" s="5"/>
      <c r="F289" s="290" t="s">
        <v>113</v>
      </c>
      <c r="G289" s="290"/>
      <c r="H289" s="290"/>
      <c r="I289" s="290"/>
      <c r="J289" s="290"/>
      <c r="K289" s="67">
        <f>K288+D288</f>
        <v>106.8</v>
      </c>
      <c r="L289" s="5"/>
    </row>
  </sheetData>
  <mergeCells count="68">
    <mergeCell ref="B276:D276"/>
    <mergeCell ref="E276:L276"/>
    <mergeCell ref="B288:C288"/>
    <mergeCell ref="F289:J289"/>
    <mergeCell ref="F272:J272"/>
    <mergeCell ref="B254:C254"/>
    <mergeCell ref="F255:J255"/>
    <mergeCell ref="B259:D259"/>
    <mergeCell ref="E259:L259"/>
    <mergeCell ref="B271:C271"/>
    <mergeCell ref="B225:D225"/>
    <mergeCell ref="E225:L225"/>
    <mergeCell ref="B237:C237"/>
    <mergeCell ref="F238:J238"/>
    <mergeCell ref="B242:D242"/>
    <mergeCell ref="E242:L242"/>
    <mergeCell ref="B221:C221"/>
    <mergeCell ref="F222:J222"/>
    <mergeCell ref="B4:D4"/>
    <mergeCell ref="B29:D29"/>
    <mergeCell ref="B61:D61"/>
    <mergeCell ref="E124:L124"/>
    <mergeCell ref="E29:L29"/>
    <mergeCell ref="B77:D77"/>
    <mergeCell ref="B93:D93"/>
    <mergeCell ref="B108:D108"/>
    <mergeCell ref="B124:D124"/>
    <mergeCell ref="E4:L4"/>
    <mergeCell ref="F201:J201"/>
    <mergeCell ref="F186:J186"/>
    <mergeCell ref="E140:L140"/>
    <mergeCell ref="F137:J137"/>
    <mergeCell ref="F121:J121"/>
    <mergeCell ref="F106:J106"/>
    <mergeCell ref="B209:D209"/>
    <mergeCell ref="E209:L209"/>
    <mergeCell ref="E188:L188"/>
    <mergeCell ref="B200:C200"/>
    <mergeCell ref="B157:D157"/>
    <mergeCell ref="B173:D173"/>
    <mergeCell ref="B188:D188"/>
    <mergeCell ref="F42:J42"/>
    <mergeCell ref="F25:J25"/>
    <mergeCell ref="B185:C185"/>
    <mergeCell ref="E61:L61"/>
    <mergeCell ref="E77:L77"/>
    <mergeCell ref="F90:J90"/>
    <mergeCell ref="F74:J74"/>
    <mergeCell ref="E44:L44"/>
    <mergeCell ref="F57:J57"/>
    <mergeCell ref="F170:J170"/>
    <mergeCell ref="F153:J153"/>
    <mergeCell ref="E93:L93"/>
    <mergeCell ref="E108:L108"/>
    <mergeCell ref="E173:L173"/>
    <mergeCell ref="E157:L157"/>
    <mergeCell ref="B140:D140"/>
    <mergeCell ref="B105:C105"/>
    <mergeCell ref="B120:C120"/>
    <mergeCell ref="B136:C136"/>
    <mergeCell ref="B152:C152"/>
    <mergeCell ref="B169:C169"/>
    <mergeCell ref="B24:C24"/>
    <mergeCell ref="B41:C41"/>
    <mergeCell ref="B73:C73"/>
    <mergeCell ref="B89:C89"/>
    <mergeCell ref="B44:D44"/>
    <mergeCell ref="B56:C56"/>
  </mergeCells>
  <pageMargins left="0.7" right="0.7" top="0.75" bottom="0.75" header="0.3" footer="0.3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377"/>
  <sheetViews>
    <sheetView topLeftCell="A16" zoomScale="80" zoomScaleNormal="80" workbookViewId="0">
      <selection activeCell="L35" sqref="L35"/>
    </sheetView>
  </sheetViews>
  <sheetFormatPr baseColWidth="10" defaultRowHeight="15" x14ac:dyDescent="0.25"/>
  <cols>
    <col min="1" max="1" width="5.140625" customWidth="1"/>
    <col min="2" max="2" width="19.140625" customWidth="1"/>
    <col min="3" max="3" width="63.140625" customWidth="1"/>
    <col min="4" max="4" width="34.28515625" customWidth="1"/>
    <col min="5" max="5" width="29.5703125" customWidth="1"/>
    <col min="6" max="6" width="22.28515625" customWidth="1"/>
    <col min="7" max="7" width="31.7109375" customWidth="1"/>
    <col min="8" max="8" width="16" customWidth="1"/>
    <col min="9" max="9" width="24.7109375" customWidth="1"/>
    <col min="10" max="10" width="21.140625" customWidth="1"/>
    <col min="11" max="11" width="31.42578125" customWidth="1"/>
    <col min="12" max="12" width="22" customWidth="1"/>
    <col min="13" max="13" width="33.5703125" customWidth="1"/>
    <col min="14" max="14" width="34.140625" customWidth="1"/>
    <col min="15" max="15" width="74.28515625" customWidth="1"/>
  </cols>
  <sheetData>
    <row r="2" spans="2:15" x14ac:dyDescent="0.25">
      <c r="B2" s="282"/>
      <c r="C2" s="282"/>
      <c r="D2" s="282"/>
      <c r="E2" s="282"/>
      <c r="F2" s="282"/>
      <c r="G2" s="282"/>
      <c r="H2" s="282"/>
      <c r="I2" s="282"/>
      <c r="J2" s="282"/>
      <c r="K2" s="282"/>
    </row>
    <row r="3" spans="2:15" ht="28.5" customHeight="1" x14ac:dyDescent="0.25">
      <c r="B3" s="282"/>
      <c r="C3" s="282"/>
      <c r="D3" s="282"/>
      <c r="E3" s="282"/>
      <c r="F3" s="282"/>
      <c r="G3" s="282"/>
      <c r="H3" s="282"/>
      <c r="I3" s="282"/>
      <c r="J3" s="282"/>
      <c r="K3" s="282"/>
    </row>
    <row r="4" spans="2:15" ht="29.25" customHeight="1" thickBot="1" x14ac:dyDescent="0.4">
      <c r="B4" s="291" t="s">
        <v>125</v>
      </c>
      <c r="C4" s="292"/>
      <c r="D4" s="292"/>
      <c r="E4" s="292"/>
      <c r="F4" s="292"/>
      <c r="G4" s="292"/>
      <c r="H4" s="292"/>
      <c r="I4" s="292"/>
      <c r="J4" s="292"/>
    </row>
    <row r="5" spans="2:15" ht="15.75" thickBot="1" x14ac:dyDescent="0.3">
      <c r="B5" s="144" t="s">
        <v>31</v>
      </c>
      <c r="C5" s="143" t="s">
        <v>1</v>
      </c>
      <c r="D5" s="143" t="s">
        <v>52</v>
      </c>
      <c r="E5" s="37" t="s">
        <v>32</v>
      </c>
      <c r="F5" s="37" t="s">
        <v>33</v>
      </c>
      <c r="G5" s="37" t="s">
        <v>51</v>
      </c>
      <c r="H5" s="37" t="s">
        <v>34</v>
      </c>
      <c r="I5" s="37" t="s">
        <v>38</v>
      </c>
      <c r="J5" s="37" t="s">
        <v>35</v>
      </c>
      <c r="K5" s="37" t="s">
        <v>36</v>
      </c>
      <c r="L5" s="37" t="s">
        <v>37</v>
      </c>
      <c r="M5" s="37" t="s">
        <v>39</v>
      </c>
      <c r="N5" s="37" t="s">
        <v>40</v>
      </c>
      <c r="O5" s="38" t="s">
        <v>41</v>
      </c>
    </row>
    <row r="6" spans="2:15" x14ac:dyDescent="0.25">
      <c r="B6" s="39">
        <v>46149</v>
      </c>
      <c r="C6" s="36" t="s">
        <v>65</v>
      </c>
      <c r="D6" s="36" t="s">
        <v>146</v>
      </c>
      <c r="E6" s="40">
        <v>1000</v>
      </c>
      <c r="F6" s="40" t="s">
        <v>147</v>
      </c>
      <c r="G6" s="40" t="s">
        <v>148</v>
      </c>
      <c r="H6" s="147">
        <v>800012499</v>
      </c>
      <c r="I6" s="147" t="s">
        <v>150</v>
      </c>
      <c r="J6" s="147" t="s">
        <v>68</v>
      </c>
      <c r="K6" s="147">
        <v>67770</v>
      </c>
      <c r="L6" s="40" t="s">
        <v>149</v>
      </c>
      <c r="M6" s="39">
        <v>46149</v>
      </c>
      <c r="N6" s="40"/>
      <c r="O6" s="40"/>
    </row>
    <row r="7" spans="2:15" x14ac:dyDescent="0.25">
      <c r="B7" s="41">
        <v>46156</v>
      </c>
      <c r="C7" s="36" t="s">
        <v>44</v>
      </c>
      <c r="D7" s="36">
        <v>951</v>
      </c>
      <c r="E7" s="42">
        <v>50</v>
      </c>
      <c r="F7" s="40" t="s">
        <v>168</v>
      </c>
      <c r="G7" s="42" t="s">
        <v>169</v>
      </c>
      <c r="H7" s="54">
        <v>69964</v>
      </c>
      <c r="I7" s="54"/>
      <c r="J7" s="54" t="s">
        <v>150</v>
      </c>
      <c r="K7" s="54" t="s">
        <v>170</v>
      </c>
      <c r="L7" s="40" t="s">
        <v>149</v>
      </c>
      <c r="M7" s="41">
        <v>46156</v>
      </c>
      <c r="N7" s="42"/>
      <c r="O7" s="42"/>
    </row>
    <row r="8" spans="2:15" x14ac:dyDescent="0.25">
      <c r="B8" s="41">
        <v>46199</v>
      </c>
      <c r="C8" s="36" t="s">
        <v>181</v>
      </c>
      <c r="D8" s="36"/>
      <c r="E8" s="42">
        <v>25</v>
      </c>
      <c r="F8" s="40" t="s">
        <v>147</v>
      </c>
      <c r="G8" s="42"/>
      <c r="H8" s="54">
        <v>800013005</v>
      </c>
      <c r="I8" s="54"/>
      <c r="J8" s="54" t="s">
        <v>189</v>
      </c>
      <c r="K8" s="54">
        <v>177</v>
      </c>
      <c r="L8" s="40" t="s">
        <v>182</v>
      </c>
      <c r="M8" s="41">
        <v>46199</v>
      </c>
      <c r="N8" s="42"/>
      <c r="O8" s="42"/>
    </row>
    <row r="9" spans="2:15" x14ac:dyDescent="0.25">
      <c r="B9" s="41">
        <v>46199</v>
      </c>
      <c r="C9" s="36" t="s">
        <v>176</v>
      </c>
      <c r="D9" s="36" t="s">
        <v>183</v>
      </c>
      <c r="E9" s="42">
        <v>500</v>
      </c>
      <c r="F9" s="40" t="s">
        <v>147</v>
      </c>
      <c r="G9" s="42" t="s">
        <v>184</v>
      </c>
      <c r="H9" s="54">
        <v>800012994</v>
      </c>
      <c r="I9" s="54"/>
      <c r="J9" s="54" t="s">
        <v>188</v>
      </c>
      <c r="K9" s="54">
        <v>68233</v>
      </c>
      <c r="L9" s="40" t="s">
        <v>182</v>
      </c>
      <c r="M9" s="41">
        <v>46199</v>
      </c>
      <c r="N9" s="42"/>
      <c r="O9" s="42"/>
    </row>
    <row r="10" spans="2:15" x14ac:dyDescent="0.25">
      <c r="B10" s="41">
        <v>46199</v>
      </c>
      <c r="C10" s="36" t="s">
        <v>65</v>
      </c>
      <c r="D10" s="36" t="s">
        <v>185</v>
      </c>
      <c r="E10" s="42">
        <v>1000</v>
      </c>
      <c r="F10" s="40" t="s">
        <v>147</v>
      </c>
      <c r="G10" s="42" t="s">
        <v>184</v>
      </c>
      <c r="H10" s="54">
        <v>800012994</v>
      </c>
      <c r="I10" s="54"/>
      <c r="J10" s="54" t="s">
        <v>187</v>
      </c>
      <c r="K10" s="54">
        <v>68082</v>
      </c>
      <c r="L10" s="40" t="s">
        <v>149</v>
      </c>
      <c r="M10" s="41">
        <v>46199</v>
      </c>
      <c r="N10" s="42"/>
      <c r="O10" s="42"/>
    </row>
    <row r="11" spans="2:15" x14ac:dyDescent="0.25">
      <c r="B11" s="41">
        <v>46199</v>
      </c>
      <c r="C11" s="36" t="s">
        <v>180</v>
      </c>
      <c r="D11" s="36" t="s">
        <v>186</v>
      </c>
      <c r="E11" s="42">
        <v>25</v>
      </c>
      <c r="F11" s="40"/>
      <c r="G11" s="42"/>
      <c r="H11" s="54"/>
      <c r="I11" s="54"/>
      <c r="J11" s="54"/>
      <c r="K11" s="42"/>
      <c r="L11" s="40"/>
      <c r="M11" s="42"/>
      <c r="N11" s="42"/>
      <c r="O11" s="42"/>
    </row>
    <row r="12" spans="2:15" x14ac:dyDescent="0.25">
      <c r="B12" s="41">
        <v>46199</v>
      </c>
      <c r="C12" s="36" t="s">
        <v>178</v>
      </c>
      <c r="D12" s="36" t="s">
        <v>186</v>
      </c>
      <c r="E12" s="42">
        <v>25</v>
      </c>
      <c r="F12" s="40"/>
      <c r="G12" s="42"/>
      <c r="H12" s="54"/>
      <c r="I12" s="54"/>
      <c r="J12" s="54"/>
      <c r="K12" s="40"/>
      <c r="L12" s="40"/>
      <c r="M12" s="42"/>
      <c r="N12" s="42"/>
      <c r="O12" s="42"/>
    </row>
    <row r="13" spans="2:15" x14ac:dyDescent="0.25">
      <c r="B13" s="41">
        <v>46199</v>
      </c>
      <c r="C13" s="36" t="s">
        <v>179</v>
      </c>
      <c r="D13" s="36" t="s">
        <v>186</v>
      </c>
      <c r="E13" s="42">
        <v>25</v>
      </c>
      <c r="F13" s="40"/>
      <c r="G13" s="42"/>
      <c r="H13" s="54"/>
      <c r="I13" s="54"/>
      <c r="J13" s="54"/>
      <c r="K13" s="40"/>
      <c r="L13" s="40"/>
      <c r="M13" s="42"/>
      <c r="N13" s="42"/>
      <c r="O13" s="42"/>
    </row>
    <row r="14" spans="2:15" x14ac:dyDescent="0.25">
      <c r="B14" s="41">
        <v>46202</v>
      </c>
      <c r="C14" s="36" t="s">
        <v>42</v>
      </c>
      <c r="D14" s="36" t="s">
        <v>192</v>
      </c>
      <c r="E14" s="42">
        <v>500</v>
      </c>
      <c r="F14" s="40" t="s">
        <v>193</v>
      </c>
      <c r="G14" s="42" t="s">
        <v>194</v>
      </c>
      <c r="H14" s="54" t="s">
        <v>195</v>
      </c>
      <c r="I14" s="54"/>
      <c r="J14" s="54">
        <v>38376476</v>
      </c>
      <c r="K14" s="42" t="s">
        <v>196</v>
      </c>
      <c r="L14" s="40" t="s">
        <v>197</v>
      </c>
      <c r="M14" s="41">
        <v>46202</v>
      </c>
      <c r="N14" s="42"/>
      <c r="O14" s="42"/>
    </row>
    <row r="15" spans="2:15" x14ac:dyDescent="0.25">
      <c r="B15" s="41">
        <v>46204</v>
      </c>
      <c r="C15" s="36" t="s">
        <v>161</v>
      </c>
      <c r="D15" s="36">
        <v>105808</v>
      </c>
      <c r="E15" s="42">
        <v>5</v>
      </c>
      <c r="F15" s="40" t="s">
        <v>168</v>
      </c>
      <c r="G15" s="42"/>
      <c r="H15" s="54"/>
      <c r="I15" s="54"/>
      <c r="J15" s="54"/>
      <c r="K15" s="42"/>
      <c r="L15" s="40"/>
      <c r="M15" s="41"/>
      <c r="N15" s="42"/>
      <c r="O15" s="42"/>
    </row>
    <row r="16" spans="2:15" x14ac:dyDescent="0.25">
      <c r="B16" s="41">
        <v>46204</v>
      </c>
      <c r="C16" s="36" t="s">
        <v>177</v>
      </c>
      <c r="D16" s="36">
        <v>108900</v>
      </c>
      <c r="E16" s="42">
        <v>5</v>
      </c>
      <c r="F16" s="40" t="s">
        <v>168</v>
      </c>
      <c r="G16" s="42"/>
      <c r="H16" s="54"/>
      <c r="I16" s="54"/>
      <c r="J16" s="54"/>
      <c r="K16" s="42"/>
      <c r="L16" s="40"/>
      <c r="M16" s="41"/>
      <c r="N16" s="42"/>
      <c r="O16" s="42"/>
    </row>
    <row r="17" spans="2:15" x14ac:dyDescent="0.25">
      <c r="B17" s="41">
        <v>46209</v>
      </c>
      <c r="C17" s="36" t="s">
        <v>181</v>
      </c>
      <c r="D17" s="36"/>
      <c r="E17" s="42">
        <v>75</v>
      </c>
      <c r="F17" s="40" t="s">
        <v>147</v>
      </c>
      <c r="G17" s="42" t="s">
        <v>212</v>
      </c>
      <c r="H17" s="54">
        <v>800013110</v>
      </c>
      <c r="I17" s="54"/>
      <c r="J17" s="54">
        <v>177</v>
      </c>
      <c r="K17" s="42" t="s">
        <v>213</v>
      </c>
      <c r="L17" s="40" t="s">
        <v>182</v>
      </c>
      <c r="M17" s="42"/>
      <c r="N17" s="42"/>
      <c r="O17" s="42"/>
    </row>
    <row r="18" spans="2:15" x14ac:dyDescent="0.25">
      <c r="B18" s="41">
        <v>46209</v>
      </c>
      <c r="C18" s="36" t="s">
        <v>181</v>
      </c>
      <c r="D18" s="36"/>
      <c r="E18" s="42">
        <v>25</v>
      </c>
      <c r="F18" s="40" t="s">
        <v>147</v>
      </c>
      <c r="G18" s="42" t="s">
        <v>212</v>
      </c>
      <c r="H18" s="54">
        <v>800013110</v>
      </c>
      <c r="I18" s="54"/>
      <c r="J18" s="54">
        <v>128</v>
      </c>
      <c r="K18" s="42" t="s">
        <v>214</v>
      </c>
      <c r="L18" s="40" t="s">
        <v>182</v>
      </c>
      <c r="M18" s="42"/>
      <c r="N18" s="42"/>
      <c r="O18" s="42"/>
    </row>
    <row r="19" spans="2:15" x14ac:dyDescent="0.25">
      <c r="B19" s="41">
        <v>46209</v>
      </c>
      <c r="C19" s="36" t="s">
        <v>65</v>
      </c>
      <c r="D19" s="36" t="s">
        <v>185</v>
      </c>
      <c r="E19" s="42">
        <v>1000</v>
      </c>
      <c r="F19" s="40" t="s">
        <v>147</v>
      </c>
      <c r="G19" s="42" t="s">
        <v>212</v>
      </c>
      <c r="H19" s="54">
        <v>800013109</v>
      </c>
      <c r="I19" s="54"/>
      <c r="J19" s="54">
        <v>68082</v>
      </c>
      <c r="K19" s="42" t="s">
        <v>215</v>
      </c>
      <c r="L19" s="40" t="s">
        <v>182</v>
      </c>
      <c r="M19" s="42"/>
      <c r="N19" s="42"/>
      <c r="O19" s="42"/>
    </row>
    <row r="20" spans="2:15" x14ac:dyDescent="0.25">
      <c r="B20" s="41">
        <v>46211</v>
      </c>
      <c r="C20" s="36" t="s">
        <v>161</v>
      </c>
      <c r="D20" s="42">
        <v>105808</v>
      </c>
      <c r="E20" s="42">
        <v>25</v>
      </c>
      <c r="F20" s="40" t="s">
        <v>168</v>
      </c>
      <c r="G20" s="42"/>
      <c r="H20" s="54"/>
      <c r="I20" s="54"/>
      <c r="J20" s="54"/>
      <c r="K20" s="42"/>
      <c r="L20" s="40" t="s">
        <v>217</v>
      </c>
      <c r="M20" s="42"/>
      <c r="N20" s="42"/>
      <c r="O20" s="42"/>
    </row>
    <row r="21" spans="2:15" x14ac:dyDescent="0.25">
      <c r="B21" s="41">
        <v>46219</v>
      </c>
      <c r="C21" s="36" t="s">
        <v>220</v>
      </c>
      <c r="D21" s="42">
        <v>7500</v>
      </c>
      <c r="E21" s="42">
        <v>5</v>
      </c>
      <c r="F21" s="40" t="s">
        <v>226</v>
      </c>
      <c r="G21" s="42"/>
      <c r="H21" s="42"/>
      <c r="I21" s="42"/>
      <c r="J21" s="42"/>
      <c r="K21" s="42"/>
      <c r="L21" s="42" t="s">
        <v>149</v>
      </c>
      <c r="M21" s="42"/>
      <c r="N21" s="42"/>
      <c r="O21" s="42"/>
    </row>
    <row r="22" spans="2:15" x14ac:dyDescent="0.25">
      <c r="B22" s="41">
        <v>46219</v>
      </c>
      <c r="C22" s="36" t="s">
        <v>225</v>
      </c>
      <c r="D22" s="42">
        <v>3119</v>
      </c>
      <c r="E22" s="42">
        <v>5</v>
      </c>
      <c r="F22" s="40" t="s">
        <v>226</v>
      </c>
      <c r="G22" s="42"/>
      <c r="H22" s="42"/>
      <c r="I22" s="42"/>
      <c r="J22" s="42"/>
      <c r="K22" s="42"/>
      <c r="L22" s="42" t="s">
        <v>149</v>
      </c>
      <c r="M22" s="42"/>
      <c r="N22" s="42"/>
      <c r="O22" s="42"/>
    </row>
    <row r="23" spans="2:15" x14ac:dyDescent="0.25">
      <c r="B23" s="41">
        <v>46219</v>
      </c>
      <c r="C23" s="36" t="s">
        <v>223</v>
      </c>
      <c r="D23" s="42">
        <v>7363</v>
      </c>
      <c r="E23" s="42">
        <v>5</v>
      </c>
      <c r="F23" s="40" t="s">
        <v>226</v>
      </c>
      <c r="G23" s="42"/>
      <c r="H23" s="42"/>
      <c r="I23" s="42"/>
      <c r="J23" s="42"/>
      <c r="K23" s="42"/>
      <c r="L23" s="42" t="s">
        <v>149</v>
      </c>
      <c r="M23" s="42"/>
      <c r="N23" s="42"/>
      <c r="O23" s="42"/>
    </row>
    <row r="24" spans="2:15" x14ac:dyDescent="0.25">
      <c r="B24" s="41">
        <v>46219</v>
      </c>
      <c r="C24" s="36" t="s">
        <v>221</v>
      </c>
      <c r="D24" s="42">
        <v>3351</v>
      </c>
      <c r="E24" s="42">
        <v>5</v>
      </c>
      <c r="F24" s="40" t="s">
        <v>226</v>
      </c>
      <c r="G24" s="42"/>
      <c r="H24" s="42"/>
      <c r="I24" s="42"/>
      <c r="J24" s="42"/>
      <c r="K24" s="42"/>
      <c r="L24" s="42" t="s">
        <v>149</v>
      </c>
      <c r="M24" s="42"/>
      <c r="N24" s="42"/>
      <c r="O24" s="42"/>
    </row>
    <row r="25" spans="2:15" x14ac:dyDescent="0.25">
      <c r="B25" s="41">
        <v>46219</v>
      </c>
      <c r="C25" s="36" t="s">
        <v>222</v>
      </c>
      <c r="D25" s="42">
        <v>4170</v>
      </c>
      <c r="E25" s="42">
        <v>4.99</v>
      </c>
      <c r="F25" s="40" t="s">
        <v>226</v>
      </c>
      <c r="G25" s="42"/>
      <c r="H25" s="42"/>
      <c r="I25" s="42"/>
      <c r="J25" s="42"/>
      <c r="K25" s="42"/>
      <c r="L25" s="42" t="s">
        <v>149</v>
      </c>
      <c r="M25" s="42"/>
      <c r="N25" s="42"/>
      <c r="O25" s="42"/>
    </row>
    <row r="26" spans="2:15" x14ac:dyDescent="0.25">
      <c r="B26" s="41">
        <v>46223</v>
      </c>
      <c r="C26" s="36" t="s">
        <v>65</v>
      </c>
      <c r="D26" s="42" t="s">
        <v>146</v>
      </c>
      <c r="E26" s="42">
        <v>1500</v>
      </c>
      <c r="F26" s="42" t="s">
        <v>147</v>
      </c>
      <c r="G26" s="42" t="s">
        <v>228</v>
      </c>
      <c r="H26" s="42">
        <v>80013285</v>
      </c>
      <c r="I26" s="42"/>
      <c r="J26" s="42">
        <v>68082</v>
      </c>
      <c r="K26" s="42" t="s">
        <v>229</v>
      </c>
      <c r="L26" s="42" t="s">
        <v>182</v>
      </c>
      <c r="M26" s="42"/>
      <c r="N26" s="42"/>
      <c r="O26" s="42"/>
    </row>
    <row r="27" spans="2:15" x14ac:dyDescent="0.25">
      <c r="B27" s="41">
        <v>46226</v>
      </c>
      <c r="C27" s="36" t="s">
        <v>65</v>
      </c>
      <c r="D27" s="42" t="s">
        <v>185</v>
      </c>
      <c r="E27" s="42">
        <v>6000</v>
      </c>
      <c r="F27" s="42" t="s">
        <v>147</v>
      </c>
      <c r="G27" s="42" t="s">
        <v>231</v>
      </c>
      <c r="H27" s="42">
        <v>80013326</v>
      </c>
      <c r="I27" s="42"/>
      <c r="J27" s="42">
        <v>68082</v>
      </c>
      <c r="K27" s="42" t="s">
        <v>232</v>
      </c>
      <c r="L27" s="42" t="s">
        <v>182</v>
      </c>
      <c r="M27" s="42"/>
      <c r="N27" s="42"/>
      <c r="O27" s="42"/>
    </row>
    <row r="28" spans="2:15" x14ac:dyDescent="0.25">
      <c r="B28" s="41">
        <v>46239</v>
      </c>
      <c r="C28" s="36" t="s">
        <v>176</v>
      </c>
      <c r="D28" s="42" t="s">
        <v>183</v>
      </c>
      <c r="E28" s="42">
        <v>4000</v>
      </c>
      <c r="F28" s="42" t="s">
        <v>147</v>
      </c>
      <c r="G28" s="42" t="s">
        <v>270</v>
      </c>
      <c r="H28" s="42">
        <v>800013470</v>
      </c>
      <c r="I28" s="42"/>
      <c r="J28" s="42">
        <v>68453</v>
      </c>
      <c r="K28" s="42" t="s">
        <v>271</v>
      </c>
      <c r="L28" s="42" t="s">
        <v>182</v>
      </c>
      <c r="M28" s="42"/>
      <c r="N28" s="42"/>
      <c r="O28" s="42"/>
    </row>
    <row r="29" spans="2:15" x14ac:dyDescent="0.25">
      <c r="B29" s="41">
        <v>46239</v>
      </c>
      <c r="C29" s="36" t="s">
        <v>161</v>
      </c>
      <c r="D29" s="42">
        <v>105808</v>
      </c>
      <c r="E29" s="42">
        <v>35</v>
      </c>
      <c r="F29" s="42" t="s">
        <v>168</v>
      </c>
      <c r="G29" s="42" t="s">
        <v>273</v>
      </c>
      <c r="H29" s="42" t="s">
        <v>275</v>
      </c>
      <c r="I29" s="42"/>
      <c r="J29" s="42"/>
      <c r="K29" s="42"/>
      <c r="L29" s="42" t="s">
        <v>182</v>
      </c>
      <c r="M29" s="42"/>
      <c r="N29" s="42"/>
      <c r="O29" s="42"/>
    </row>
    <row r="30" spans="2:15" x14ac:dyDescent="0.25">
      <c r="B30" s="41">
        <v>46239</v>
      </c>
      <c r="C30" s="36" t="s">
        <v>44</v>
      </c>
      <c r="D30" s="42">
        <v>951</v>
      </c>
      <c r="E30" s="42">
        <v>50</v>
      </c>
      <c r="F30" s="42" t="s">
        <v>168</v>
      </c>
      <c r="G30" s="42" t="s">
        <v>274</v>
      </c>
      <c r="H30" s="42" t="s">
        <v>275</v>
      </c>
      <c r="I30" s="42"/>
      <c r="J30" s="42"/>
      <c r="K30" s="42"/>
      <c r="L30" s="42" t="s">
        <v>182</v>
      </c>
      <c r="M30" s="42"/>
      <c r="N30" s="42"/>
      <c r="O30" s="42"/>
    </row>
    <row r="31" spans="2:15" x14ac:dyDescent="0.25">
      <c r="B31" s="41">
        <v>46239</v>
      </c>
      <c r="C31" s="36" t="s">
        <v>159</v>
      </c>
      <c r="D31" s="42">
        <v>100319</v>
      </c>
      <c r="E31" s="42">
        <v>5</v>
      </c>
      <c r="F31" s="42" t="s">
        <v>168</v>
      </c>
      <c r="G31" s="42" t="s">
        <v>274</v>
      </c>
      <c r="H31" s="42" t="s">
        <v>275</v>
      </c>
      <c r="I31" s="42"/>
      <c r="J31" s="42"/>
      <c r="K31" s="42"/>
      <c r="L31" s="42" t="s">
        <v>182</v>
      </c>
      <c r="M31" s="42"/>
      <c r="N31" s="42"/>
      <c r="O31" s="42"/>
    </row>
    <row r="32" spans="2:15" x14ac:dyDescent="0.25">
      <c r="B32" s="41">
        <v>46244</v>
      </c>
      <c r="C32" s="36" t="s">
        <v>235</v>
      </c>
      <c r="D32" s="42">
        <v>7228</v>
      </c>
      <c r="E32" s="42">
        <v>5</v>
      </c>
      <c r="F32" s="42" t="s">
        <v>226</v>
      </c>
      <c r="G32" s="42" t="s">
        <v>279</v>
      </c>
      <c r="H32" s="42" t="s">
        <v>280</v>
      </c>
      <c r="I32" s="42"/>
      <c r="J32" s="42"/>
      <c r="K32" s="42"/>
      <c r="L32" s="42" t="s">
        <v>182</v>
      </c>
      <c r="M32" s="42"/>
      <c r="N32" s="42"/>
      <c r="O32" s="42"/>
    </row>
    <row r="33" spans="2:15" x14ac:dyDescent="0.25">
      <c r="B33" s="41">
        <v>46244</v>
      </c>
      <c r="C33" s="36" t="s">
        <v>224</v>
      </c>
      <c r="D33" s="42">
        <v>4101</v>
      </c>
      <c r="E33" s="42">
        <v>5</v>
      </c>
      <c r="F33" s="42" t="s">
        <v>226</v>
      </c>
      <c r="G33" s="42" t="s">
        <v>279</v>
      </c>
      <c r="H33" s="42" t="s">
        <v>280</v>
      </c>
      <c r="I33" s="42"/>
      <c r="J33" s="42"/>
      <c r="K33" s="42"/>
      <c r="L33" s="42" t="s">
        <v>182</v>
      </c>
      <c r="M33" s="42"/>
      <c r="N33" s="42"/>
      <c r="O33" s="42"/>
    </row>
    <row r="34" spans="2:15" x14ac:dyDescent="0.25">
      <c r="B34" s="41">
        <v>46244</v>
      </c>
      <c r="C34" s="36" t="s">
        <v>221</v>
      </c>
      <c r="D34" s="42">
        <v>3351</v>
      </c>
      <c r="E34" s="42">
        <v>25</v>
      </c>
      <c r="F34" s="42" t="s">
        <v>226</v>
      </c>
      <c r="G34" s="42" t="s">
        <v>278</v>
      </c>
      <c r="H34" s="42" t="s">
        <v>281</v>
      </c>
      <c r="I34" s="42"/>
      <c r="J34" s="42"/>
      <c r="K34" s="42"/>
      <c r="L34" s="42" t="s">
        <v>182</v>
      </c>
      <c r="M34" s="42"/>
      <c r="N34" s="42"/>
      <c r="O34" s="42"/>
    </row>
    <row r="35" spans="2:15" x14ac:dyDescent="0.25">
      <c r="B35" s="42"/>
      <c r="C35" s="36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</row>
    <row r="36" spans="2:15" x14ac:dyDescent="0.25">
      <c r="B36" s="42"/>
      <c r="C36" s="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7" spans="2:15" x14ac:dyDescent="0.25">
      <c r="B37" s="42"/>
      <c r="C37" s="36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</row>
    <row r="38" spans="2:15" x14ac:dyDescent="0.25">
      <c r="B38" s="42"/>
      <c r="C38" s="36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</row>
    <row r="39" spans="2:15" x14ac:dyDescent="0.25">
      <c r="B39" s="42"/>
      <c r="C39" s="36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</row>
    <row r="40" spans="2:15" x14ac:dyDescent="0.25">
      <c r="B40" s="42"/>
      <c r="C40" s="36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</row>
    <row r="41" spans="2:15" x14ac:dyDescent="0.25">
      <c r="B41" s="42"/>
      <c r="C41" s="36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</row>
    <row r="42" spans="2:15" x14ac:dyDescent="0.25">
      <c r="B42" s="42"/>
      <c r="C42" s="36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</row>
    <row r="43" spans="2:15" x14ac:dyDescent="0.25">
      <c r="B43" s="42"/>
      <c r="C43" s="36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 spans="2:15" x14ac:dyDescent="0.25">
      <c r="B44" s="42"/>
      <c r="C44" s="36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 spans="2:15" x14ac:dyDescent="0.25">
      <c r="B45" s="42"/>
      <c r="C45" s="36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</row>
    <row r="46" spans="2:15" x14ac:dyDescent="0.25">
      <c r="B46" s="42"/>
      <c r="C46" s="36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</row>
    <row r="47" spans="2:15" x14ac:dyDescent="0.25">
      <c r="B47" s="42"/>
      <c r="C47" s="36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</row>
    <row r="48" spans="2:15" x14ac:dyDescent="0.25">
      <c r="B48" s="42"/>
      <c r="C48" s="36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</row>
    <row r="49" spans="2:15" x14ac:dyDescent="0.25">
      <c r="B49" s="42"/>
      <c r="C49" s="36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spans="2:15" x14ac:dyDescent="0.25">
      <c r="B50" s="42"/>
      <c r="C50" s="36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</row>
    <row r="51" spans="2:15" x14ac:dyDescent="0.25">
      <c r="B51" s="42"/>
      <c r="C51" s="36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</row>
    <row r="52" spans="2:15" x14ac:dyDescent="0.25">
      <c r="B52" s="42"/>
      <c r="C52" s="36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2:15" x14ac:dyDescent="0.25">
      <c r="B53" s="42"/>
      <c r="C53" s="36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</row>
    <row r="54" spans="2:15" x14ac:dyDescent="0.25">
      <c r="B54" s="42"/>
      <c r="C54" s="36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2:15" x14ac:dyDescent="0.25">
      <c r="B55" s="42"/>
      <c r="C55" s="36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2:15" x14ac:dyDescent="0.25">
      <c r="B56" s="42"/>
      <c r="C56" s="3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2:15" x14ac:dyDescent="0.25">
      <c r="B57" s="42"/>
      <c r="C57" s="36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2:15" x14ac:dyDescent="0.25">
      <c r="B58" s="42"/>
      <c r="C58" s="36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2:15" x14ac:dyDescent="0.25">
      <c r="B59" s="42"/>
      <c r="C59" s="36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2:15" x14ac:dyDescent="0.25">
      <c r="B60" s="42"/>
      <c r="C60" s="36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2:15" x14ac:dyDescent="0.25">
      <c r="B61" s="42"/>
      <c r="C61" s="3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2:15" x14ac:dyDescent="0.25">
      <c r="B62" s="42"/>
      <c r="C62" s="3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2:15" x14ac:dyDescent="0.25">
      <c r="B63" s="42"/>
      <c r="C63" s="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2:15" x14ac:dyDescent="0.25">
      <c r="B64" s="42"/>
      <c r="C64" s="3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2:15" x14ac:dyDescent="0.25">
      <c r="B65" s="42"/>
      <c r="C65" s="3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2:15" x14ac:dyDescent="0.25">
      <c r="B66" s="42"/>
      <c r="C66" s="3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2:15" x14ac:dyDescent="0.25">
      <c r="B67" s="42"/>
      <c r="C67" s="3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2:15" x14ac:dyDescent="0.25">
      <c r="B68" s="42"/>
      <c r="C68" s="3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2:15" x14ac:dyDescent="0.25">
      <c r="B69" s="42"/>
      <c r="C69" s="3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2:15" x14ac:dyDescent="0.25">
      <c r="B70" s="42"/>
      <c r="C70" s="3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2:15" x14ac:dyDescent="0.25">
      <c r="B71" s="42"/>
      <c r="C71" s="3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2:15" x14ac:dyDescent="0.25">
      <c r="B72" s="42"/>
      <c r="C72" s="3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2:15" x14ac:dyDescent="0.25">
      <c r="B73" s="42"/>
      <c r="C73" s="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2:15" x14ac:dyDescent="0.25">
      <c r="B74" s="42"/>
      <c r="C74" s="3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2:15" x14ac:dyDescent="0.25">
      <c r="B75" s="42"/>
      <c r="C75" s="3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2:15" x14ac:dyDescent="0.25">
      <c r="B76" s="42"/>
      <c r="C76" s="3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2:15" x14ac:dyDescent="0.25">
      <c r="B77" s="42"/>
      <c r="C77" s="3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2:15" x14ac:dyDescent="0.25">
      <c r="B78" s="42"/>
      <c r="C78" s="3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2:15" x14ac:dyDescent="0.25">
      <c r="B79" s="42"/>
      <c r="C79" s="3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2:15" x14ac:dyDescent="0.25">
      <c r="B80" s="42"/>
      <c r="C80" s="3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2:15" x14ac:dyDescent="0.25">
      <c r="B81" s="42"/>
      <c r="C81" s="3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2:15" x14ac:dyDescent="0.25">
      <c r="B82" s="42"/>
      <c r="C82" s="3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2:15" x14ac:dyDescent="0.25"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x14ac:dyDescent="0.25"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x14ac:dyDescent="0.25"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x14ac:dyDescent="0.25"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x14ac:dyDescent="0.25"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x14ac:dyDescent="0.25"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x14ac:dyDescent="0.25"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x14ac:dyDescent="0.25"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x14ac:dyDescent="0.25"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x14ac:dyDescent="0.25"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x14ac:dyDescent="0.25"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x14ac:dyDescent="0.25"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x14ac:dyDescent="0.25"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x14ac:dyDescent="0.25"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x14ac:dyDescent="0.25"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x14ac:dyDescent="0.25"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x14ac:dyDescent="0.25"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x14ac:dyDescent="0.25"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x14ac:dyDescent="0.25"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x14ac:dyDescent="0.25"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x14ac:dyDescent="0.25"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x14ac:dyDescent="0.25"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x14ac:dyDescent="0.25"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x14ac:dyDescent="0.25"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x14ac:dyDescent="0.25"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x14ac:dyDescent="0.25"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x14ac:dyDescent="0.25"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x14ac:dyDescent="0.25"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x14ac:dyDescent="0.25"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x14ac:dyDescent="0.25"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x14ac:dyDescent="0.25"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x14ac:dyDescent="0.25"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x14ac:dyDescent="0.25"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x14ac:dyDescent="0.25"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x14ac:dyDescent="0.25"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x14ac:dyDescent="0.25"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x14ac:dyDescent="0.25"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x14ac:dyDescent="0.25"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x14ac:dyDescent="0.25"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x14ac:dyDescent="0.25"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x14ac:dyDescent="0.25"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x14ac:dyDescent="0.25"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x14ac:dyDescent="0.25"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x14ac:dyDescent="0.25"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x14ac:dyDescent="0.25"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x14ac:dyDescent="0.25"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x14ac:dyDescent="0.25"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x14ac:dyDescent="0.25"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x14ac:dyDescent="0.25"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x14ac:dyDescent="0.25"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x14ac:dyDescent="0.25"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x14ac:dyDescent="0.25"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x14ac:dyDescent="0.25"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x14ac:dyDescent="0.25"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x14ac:dyDescent="0.25"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x14ac:dyDescent="0.25"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x14ac:dyDescent="0.25"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x14ac:dyDescent="0.25"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x14ac:dyDescent="0.25"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x14ac:dyDescent="0.25"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x14ac:dyDescent="0.25"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x14ac:dyDescent="0.25"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x14ac:dyDescent="0.25"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x14ac:dyDescent="0.25"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x14ac:dyDescent="0.25"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x14ac:dyDescent="0.25"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x14ac:dyDescent="0.25"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x14ac:dyDescent="0.25"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x14ac:dyDescent="0.25"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x14ac:dyDescent="0.25"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x14ac:dyDescent="0.25"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x14ac:dyDescent="0.25"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x14ac:dyDescent="0.25"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x14ac:dyDescent="0.25"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x14ac:dyDescent="0.25"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x14ac:dyDescent="0.25"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x14ac:dyDescent="0.25"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x14ac:dyDescent="0.25"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x14ac:dyDescent="0.25"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x14ac:dyDescent="0.25"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x14ac:dyDescent="0.25"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x14ac:dyDescent="0.25"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x14ac:dyDescent="0.25"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x14ac:dyDescent="0.25"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x14ac:dyDescent="0.25"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x14ac:dyDescent="0.25"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x14ac:dyDescent="0.25"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x14ac:dyDescent="0.25"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x14ac:dyDescent="0.25"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x14ac:dyDescent="0.25"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x14ac:dyDescent="0.25"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x14ac:dyDescent="0.25"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x14ac:dyDescent="0.25"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x14ac:dyDescent="0.25"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x14ac:dyDescent="0.25"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x14ac:dyDescent="0.25"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x14ac:dyDescent="0.25"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x14ac:dyDescent="0.25"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x14ac:dyDescent="0.25"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x14ac:dyDescent="0.25"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x14ac:dyDescent="0.25"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x14ac:dyDescent="0.25"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x14ac:dyDescent="0.25"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x14ac:dyDescent="0.25"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x14ac:dyDescent="0.25"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x14ac:dyDescent="0.25"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x14ac:dyDescent="0.25"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x14ac:dyDescent="0.25"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x14ac:dyDescent="0.25"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x14ac:dyDescent="0.25"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x14ac:dyDescent="0.25"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x14ac:dyDescent="0.25"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x14ac:dyDescent="0.25"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x14ac:dyDescent="0.25"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x14ac:dyDescent="0.25"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x14ac:dyDescent="0.25"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x14ac:dyDescent="0.25"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x14ac:dyDescent="0.25"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x14ac:dyDescent="0.25"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x14ac:dyDescent="0.25"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x14ac:dyDescent="0.25"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x14ac:dyDescent="0.25"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x14ac:dyDescent="0.25"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x14ac:dyDescent="0.25"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x14ac:dyDescent="0.25"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x14ac:dyDescent="0.25"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x14ac:dyDescent="0.25"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x14ac:dyDescent="0.25"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x14ac:dyDescent="0.25"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x14ac:dyDescent="0.25"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x14ac:dyDescent="0.25"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x14ac:dyDescent="0.25"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x14ac:dyDescent="0.25"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x14ac:dyDescent="0.25"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x14ac:dyDescent="0.25"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x14ac:dyDescent="0.25"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x14ac:dyDescent="0.25"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x14ac:dyDescent="0.25"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x14ac:dyDescent="0.25"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x14ac:dyDescent="0.25"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x14ac:dyDescent="0.25"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x14ac:dyDescent="0.25"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x14ac:dyDescent="0.25"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x14ac:dyDescent="0.25"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x14ac:dyDescent="0.25"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x14ac:dyDescent="0.25"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x14ac:dyDescent="0.25"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 x14ac:dyDescent="0.25"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 x14ac:dyDescent="0.25"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 x14ac:dyDescent="0.25"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 x14ac:dyDescent="0.25"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 x14ac:dyDescent="0.25"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 x14ac:dyDescent="0.25"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2:15" x14ac:dyDescent="0.25"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2:15" x14ac:dyDescent="0.25"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2:15" x14ac:dyDescent="0.25"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2:15" x14ac:dyDescent="0.25"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2:15" x14ac:dyDescent="0.25"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2:15" x14ac:dyDescent="0.25"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2:15" x14ac:dyDescent="0.25"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2:15" x14ac:dyDescent="0.25"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2:15" x14ac:dyDescent="0.25"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2:15" x14ac:dyDescent="0.25"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2:15" x14ac:dyDescent="0.25"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2:15" x14ac:dyDescent="0.25"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2:15" x14ac:dyDescent="0.25"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2:15" x14ac:dyDescent="0.25"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2:15" x14ac:dyDescent="0.25"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2:15" x14ac:dyDescent="0.25"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2:15" x14ac:dyDescent="0.25"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2:15" x14ac:dyDescent="0.25"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2:15" x14ac:dyDescent="0.25"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2:15" x14ac:dyDescent="0.25"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2:15" x14ac:dyDescent="0.25"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2:15" x14ac:dyDescent="0.25"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2:15" x14ac:dyDescent="0.25"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2:15" x14ac:dyDescent="0.25"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2:15" x14ac:dyDescent="0.25"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2:15" x14ac:dyDescent="0.25"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2:15" x14ac:dyDescent="0.25"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2:15" x14ac:dyDescent="0.25"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2:15" x14ac:dyDescent="0.25"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2:15" x14ac:dyDescent="0.25"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2:15" x14ac:dyDescent="0.25"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2:15" x14ac:dyDescent="0.25"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2:15" x14ac:dyDescent="0.25"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2:15" x14ac:dyDescent="0.25"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2:15" x14ac:dyDescent="0.25"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2:15" x14ac:dyDescent="0.25"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2:15" x14ac:dyDescent="0.25"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2:15" x14ac:dyDescent="0.25"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2:15" x14ac:dyDescent="0.25"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2:15" x14ac:dyDescent="0.25"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2:15" x14ac:dyDescent="0.25"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2:15" x14ac:dyDescent="0.25"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2:15" x14ac:dyDescent="0.25"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2:15" x14ac:dyDescent="0.25"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2:15" x14ac:dyDescent="0.25"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2:15" x14ac:dyDescent="0.25"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2:15" x14ac:dyDescent="0.25"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2:15" x14ac:dyDescent="0.25"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2:15" x14ac:dyDescent="0.25"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2:15" x14ac:dyDescent="0.25"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2:15" x14ac:dyDescent="0.25"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2:15" x14ac:dyDescent="0.25"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2:15" x14ac:dyDescent="0.25"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2:15" x14ac:dyDescent="0.25"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2:15" x14ac:dyDescent="0.25"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2:15" x14ac:dyDescent="0.25"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2:15" x14ac:dyDescent="0.25"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2:15" x14ac:dyDescent="0.25"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2:15" x14ac:dyDescent="0.25"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2:15" x14ac:dyDescent="0.25"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2:15" x14ac:dyDescent="0.25"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2:15" x14ac:dyDescent="0.25"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2:15" x14ac:dyDescent="0.25"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2:15" x14ac:dyDescent="0.25"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2:15" x14ac:dyDescent="0.25"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2:15" x14ac:dyDescent="0.25"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2:15" x14ac:dyDescent="0.25"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2:15" x14ac:dyDescent="0.25"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2:15" x14ac:dyDescent="0.25"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2:15" x14ac:dyDescent="0.25"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2:15" x14ac:dyDescent="0.25"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2:15" x14ac:dyDescent="0.25"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2:15" x14ac:dyDescent="0.25"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2:15" x14ac:dyDescent="0.25"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2:15" x14ac:dyDescent="0.25"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2:15" x14ac:dyDescent="0.25"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2:15" x14ac:dyDescent="0.25"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2:15" x14ac:dyDescent="0.25"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2:15" x14ac:dyDescent="0.25"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2:15" x14ac:dyDescent="0.25"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2:15" x14ac:dyDescent="0.25"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2:15" x14ac:dyDescent="0.25"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2:15" x14ac:dyDescent="0.25"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2:15" x14ac:dyDescent="0.25"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2:15" x14ac:dyDescent="0.25"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2:15" x14ac:dyDescent="0.25"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2:15" x14ac:dyDescent="0.25"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2:15" x14ac:dyDescent="0.25"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2:15" x14ac:dyDescent="0.25"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2:15" x14ac:dyDescent="0.25"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2:15" x14ac:dyDescent="0.25"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2:15" x14ac:dyDescent="0.25"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2:15" x14ac:dyDescent="0.25"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2:15" x14ac:dyDescent="0.25"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2:15" x14ac:dyDescent="0.25"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2:15" x14ac:dyDescent="0.25"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2:15" x14ac:dyDescent="0.25"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2:15" x14ac:dyDescent="0.25"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2:15" x14ac:dyDescent="0.25"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2:15" x14ac:dyDescent="0.25"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2:15" x14ac:dyDescent="0.25"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2:15" x14ac:dyDescent="0.25"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2:15" x14ac:dyDescent="0.25"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2:15" x14ac:dyDescent="0.25"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2:15" x14ac:dyDescent="0.25"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2:15" x14ac:dyDescent="0.25"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2:15" x14ac:dyDescent="0.25"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2:15" x14ac:dyDescent="0.25"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2:15" x14ac:dyDescent="0.25"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2:15" x14ac:dyDescent="0.25"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2:15" x14ac:dyDescent="0.25"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2:15" x14ac:dyDescent="0.25"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2:15" x14ac:dyDescent="0.25"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2:15" x14ac:dyDescent="0.25"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2:15" x14ac:dyDescent="0.25"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2:15" x14ac:dyDescent="0.25"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2:15" x14ac:dyDescent="0.25"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2:15" x14ac:dyDescent="0.25"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2:15" x14ac:dyDescent="0.25"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2:15" x14ac:dyDescent="0.25"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2:15" x14ac:dyDescent="0.25"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2:15" x14ac:dyDescent="0.25"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2:15" x14ac:dyDescent="0.25"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2:15" x14ac:dyDescent="0.25"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2:15" x14ac:dyDescent="0.25"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2:15" x14ac:dyDescent="0.25"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2:15" x14ac:dyDescent="0.25"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2:15" x14ac:dyDescent="0.25"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2:15" x14ac:dyDescent="0.25"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2:15" x14ac:dyDescent="0.25"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2:15" x14ac:dyDescent="0.25"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2:15" x14ac:dyDescent="0.25"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2:15" x14ac:dyDescent="0.25"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2:15" x14ac:dyDescent="0.25"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2:15" x14ac:dyDescent="0.25"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2:15" x14ac:dyDescent="0.25"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2:15" x14ac:dyDescent="0.25"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2:15" x14ac:dyDescent="0.25"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2:15" x14ac:dyDescent="0.25"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2:15" x14ac:dyDescent="0.25"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2:15" x14ac:dyDescent="0.25"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2:15" x14ac:dyDescent="0.25">
      <c r="C377" s="117"/>
    </row>
  </sheetData>
  <mergeCells count="2">
    <mergeCell ref="B4:J4"/>
    <mergeCell ref="B2:K3"/>
  </mergeCells>
  <dataValidations count="5">
    <dataValidation type="list" allowBlank="1" showInputMessage="1" showErrorMessage="1" sqref="C61:C377">
      <formula1>$B$3:$B$35</formula1>
    </dataValidation>
    <dataValidation type="list" allowBlank="1" showInputMessage="1" showErrorMessage="1" sqref="C10:C20">
      <formula1>$B$6:$B$39</formula1>
    </dataValidation>
    <dataValidation type="list" allowBlank="1" showInputMessage="1" showErrorMessage="1" sqref="C9">
      <formula1>$B$5:$B$12</formula1>
    </dataValidation>
    <dataValidation type="list" allowBlank="1" showInputMessage="1" showErrorMessage="1" sqref="C21">
      <formula1>$B$6:$B$44</formula1>
    </dataValidation>
    <dataValidation type="list" allowBlank="1" showInputMessage="1" showErrorMessage="1" sqref="C23:C27">
      <formula1>$B$6:$B$44</formula1>
    </dataValidation>
  </dataValidations>
  <pageMargins left="0.7" right="0.7" top="0.75" bottom="0.75" header="0.3" footer="0.3"/>
  <pageSetup paperSize="5" scale="7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STOCK!$B$5:$B$13</xm:f>
          </x14:formula1>
          <xm:sqref>C7</xm:sqref>
        </x14:dataValidation>
        <x14:dataValidation type="list" allowBlank="1" showInputMessage="1" showErrorMessage="1">
          <x14:formula1>
            <xm:f>STOCK!$B$6:$B$37</xm:f>
          </x14:formula1>
          <xm:sqref>C6</xm:sqref>
        </x14:dataValidation>
        <x14:dataValidation type="list" allowBlank="1" showInputMessage="1" showErrorMessage="1">
          <x14:formula1>
            <xm:f>STOCK!$B$6:$B$45</xm:f>
          </x14:formula1>
          <xm:sqref>C8 C28:C60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GRAFICOS</vt:lpstr>
      <vt:lpstr>STOCK</vt:lpstr>
      <vt:lpstr>INGRESO</vt:lpstr>
      <vt:lpstr>BOLSONES</vt:lpstr>
      <vt:lpstr>EGRESO</vt:lpstr>
      <vt:lpstr>MASTER  </vt:lpstr>
      <vt:lpstr>BOLSONES </vt:lpstr>
      <vt:lpstr>borrador </vt:lpstr>
      <vt:lpstr>DATOS DE LA COMPRA </vt:lpstr>
      <vt:lpstr>Hoja1</vt:lpstr>
      <vt:lpstr>BOLSONES!Área_de_impresión</vt:lpstr>
      <vt:lpstr>'BOLSONES '!Área_de_impresión</vt:lpstr>
      <vt:lpstr>'borrador '!Área_de_impresión</vt:lpstr>
      <vt:lpstr>'DATOS DE LA COMPRA '!Área_de_impresión</vt:lpstr>
      <vt:lpstr>EGRESO!Área_de_impresión</vt:lpstr>
      <vt:lpstr>INGRESO!Área_de_impresión</vt:lpstr>
      <vt:lpstr>'MASTER  '!Área_de_impresión</vt:lpstr>
      <vt:lpstr>STOCK!Área_de_impresión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2026-08-11T18:35:52Z</dcterms:modified>
</cp:coreProperties>
</file>